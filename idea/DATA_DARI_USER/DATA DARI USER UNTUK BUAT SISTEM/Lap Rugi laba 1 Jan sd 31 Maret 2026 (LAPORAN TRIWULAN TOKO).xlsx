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4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Sheet1!$A$1:$G$38</definedName>
  </definedNames>
  <calcPr calcId="144525"/>
</workbook>
</file>

<file path=xl/calcChain.xml><?xml version="1.0" encoding="utf-8"?>
<calcChain xmlns="http://schemas.openxmlformats.org/spreadsheetml/2006/main">
  <c r="G39" i="1" l="1"/>
  <c r="F22" i="1" l="1"/>
  <c r="F9" i="1"/>
  <c r="G14" i="1" s="1"/>
  <c r="F24" i="1" l="1"/>
  <c r="G26" i="1" s="1"/>
  <c r="G27" i="1" s="1"/>
  <c r="G40" i="1" s="1"/>
</calcChain>
</file>

<file path=xl/sharedStrings.xml><?xml version="1.0" encoding="utf-8"?>
<sst xmlns="http://schemas.openxmlformats.org/spreadsheetml/2006/main" count="29" uniqueCount="29">
  <si>
    <t>LAPORAN RUGI/LABA TOKO LIDIA</t>
  </si>
  <si>
    <t>PENERIMAAN</t>
  </si>
  <si>
    <t>Penjualan :</t>
  </si>
  <si>
    <t>Jumlah</t>
  </si>
  <si>
    <t>Penerimaan lain:</t>
  </si>
  <si>
    <t>Total Penerimaan</t>
  </si>
  <si>
    <t>PENGELUARAN</t>
  </si>
  <si>
    <t>Harga pokok penjualan</t>
  </si>
  <si>
    <t>Persediaan awal</t>
  </si>
  <si>
    <t>Persediaan akhir</t>
  </si>
  <si>
    <t>Laba kotor</t>
  </si>
  <si>
    <t>Pengeluaran lainnya</t>
  </si>
  <si>
    <t>Biaya parkir</t>
  </si>
  <si>
    <t xml:space="preserve">Jumlah </t>
  </si>
  <si>
    <t>Transport pengelola toko Okt s/d Des</t>
  </si>
  <si>
    <t>Periode 1 Januari s/d 31 Maret 2026</t>
  </si>
  <si>
    <t>Penjualan bulan Januari</t>
  </si>
  <si>
    <t>Penjualan bulan Februari</t>
  </si>
  <si>
    <t>Penjualan bulan Maret</t>
  </si>
  <si>
    <t>Laba konsinyasi 1 Januari s/d 31 Maret 2026</t>
  </si>
  <si>
    <t>Pembelian bulan Januari</t>
  </si>
  <si>
    <t>Pembelian bulan Februari</t>
  </si>
  <si>
    <t>Pembelian bulan Maret</t>
  </si>
  <si>
    <t>Buku nota 4 @3600</t>
  </si>
  <si>
    <t xml:space="preserve">Tinta isi spidol snowman </t>
  </si>
  <si>
    <t>Tissue Jolly</t>
  </si>
  <si>
    <t>Kertas roll utk cetak penjualan toko</t>
  </si>
  <si>
    <t>Tas utk tmpt oleh2 RAT 2026</t>
  </si>
  <si>
    <t>Persembahan utk gereja dr Toko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</si>
</sst>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_(* #,##0.00_);_(* \(#,##0.00\);_(* &quot;-&quot;_);_(@_)"/>
    <numFmt numFmtId="165" formatCode="_(* #,##0_);_(* \(#,##0\);_(* &quot;-&quot;??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41" fontId="0" fillId="0" borderId="0" xfId="1" applyFont="1"/>
    <xf numFmtId="0" fontId="0" fillId="0" borderId="1" xfId="0" applyBorder="1"/>
    <xf numFmtId="41" fontId="0" fillId="0" borderId="0" xfId="0" applyNumberFormat="1"/>
    <xf numFmtId="164" fontId="0" fillId="0" borderId="0" xfId="0" applyNumberFormat="1"/>
    <xf numFmtId="41" fontId="0" fillId="0" borderId="0" xfId="1" applyFont="1" applyBorder="1"/>
    <xf numFmtId="41" fontId="0" fillId="0" borderId="0" xfId="0" applyNumberFormat="1" applyBorder="1"/>
    <xf numFmtId="165" fontId="0" fillId="0" borderId="0" xfId="0" applyNumberFormat="1" applyBorder="1"/>
    <xf numFmtId="165" fontId="0" fillId="0" borderId="1" xfId="0" applyNumberFormat="1" applyBorder="1"/>
    <xf numFmtId="4" fontId="0" fillId="0" borderId="0" xfId="0" applyNumberFormat="1"/>
    <xf numFmtId="41" fontId="0" fillId="0" borderId="0" xfId="1" applyFont="1" applyFill="1" applyBorder="1"/>
    <xf numFmtId="165" fontId="0" fillId="0" borderId="0" xfId="0" applyNumberFormat="1"/>
    <xf numFmtId="41" fontId="0" fillId="0" borderId="2" xfId="1" applyFont="1" applyFill="1" applyBorder="1"/>
    <xf numFmtId="41" fontId="0" fillId="0" borderId="2" xfId="0" applyNumberForma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E1" sqref="E1"/>
    </sheetView>
  </sheetViews>
  <sheetFormatPr defaultRowHeight="15" x14ac:dyDescent="0.25"/>
  <cols>
    <col min="5" max="5" width="11.5703125" bestFit="1" customWidth="1"/>
    <col min="6" max="7" width="14.28515625" bestFit="1" customWidth="1"/>
  </cols>
  <sheetData>
    <row r="1" spans="1:7" x14ac:dyDescent="0.25">
      <c r="A1" t="s">
        <v>0</v>
      </c>
    </row>
    <row r="2" spans="1:7" x14ac:dyDescent="0.25">
      <c r="A2" t="s">
        <v>15</v>
      </c>
    </row>
    <row r="3" spans="1:7" x14ac:dyDescent="0.25">
      <c r="A3" s="9"/>
    </row>
    <row r="4" spans="1:7" x14ac:dyDescent="0.25">
      <c r="A4" t="s">
        <v>1</v>
      </c>
    </row>
    <row r="5" spans="1:7" x14ac:dyDescent="0.25">
      <c r="A5" t="s">
        <v>2</v>
      </c>
    </row>
    <row r="6" spans="1:7" x14ac:dyDescent="0.25">
      <c r="A6" t="s">
        <v>16</v>
      </c>
      <c r="E6" s="1">
        <v>11052000</v>
      </c>
    </row>
    <row r="7" spans="1:7" x14ac:dyDescent="0.25">
      <c r="A7" t="s">
        <v>17</v>
      </c>
      <c r="E7" s="1">
        <v>6399000</v>
      </c>
    </row>
    <row r="8" spans="1:7" x14ac:dyDescent="0.25">
      <c r="A8" t="s">
        <v>18</v>
      </c>
      <c r="E8" s="1">
        <v>10565000</v>
      </c>
    </row>
    <row r="9" spans="1:7" x14ac:dyDescent="0.25">
      <c r="A9" t="s">
        <v>3</v>
      </c>
      <c r="E9" s="2"/>
      <c r="F9" s="3">
        <f>SUM(E6:E8)</f>
        <v>28016000</v>
      </c>
    </row>
    <row r="11" spans="1:7" x14ac:dyDescent="0.25">
      <c r="A11" t="s">
        <v>4</v>
      </c>
    </row>
    <row r="12" spans="1:7" x14ac:dyDescent="0.25">
      <c r="A12" t="s">
        <v>19</v>
      </c>
      <c r="F12" s="1">
        <v>515500</v>
      </c>
    </row>
    <row r="13" spans="1:7" x14ac:dyDescent="0.25">
      <c r="F13" s="2"/>
    </row>
    <row r="14" spans="1:7" x14ac:dyDescent="0.25">
      <c r="A14" t="s">
        <v>5</v>
      </c>
      <c r="G14" s="3">
        <f>SUM(F9:F12)</f>
        <v>28531500</v>
      </c>
    </row>
    <row r="16" spans="1:7" x14ac:dyDescent="0.25">
      <c r="A16" t="s">
        <v>6</v>
      </c>
    </row>
    <row r="17" spans="1:7" x14ac:dyDescent="0.25">
      <c r="A17" t="s">
        <v>7</v>
      </c>
    </row>
    <row r="18" spans="1:7" x14ac:dyDescent="0.25">
      <c r="A18" t="s">
        <v>8</v>
      </c>
      <c r="F18" s="1">
        <v>5011836</v>
      </c>
    </row>
    <row r="19" spans="1:7" x14ac:dyDescent="0.25">
      <c r="A19" t="s">
        <v>20</v>
      </c>
      <c r="E19" s="1">
        <v>10913741</v>
      </c>
      <c r="F19" s="1"/>
    </row>
    <row r="20" spans="1:7" x14ac:dyDescent="0.25">
      <c r="A20" t="s">
        <v>21</v>
      </c>
      <c r="E20" s="1">
        <v>4365033</v>
      </c>
    </row>
    <row r="21" spans="1:7" x14ac:dyDescent="0.25">
      <c r="A21" t="s">
        <v>22</v>
      </c>
      <c r="E21" s="1">
        <v>8047140</v>
      </c>
    </row>
    <row r="22" spans="1:7" x14ac:dyDescent="0.25">
      <c r="E22" s="2"/>
      <c r="F22" s="3">
        <f>SUM(E19:E21)</f>
        <v>23325914</v>
      </c>
    </row>
    <row r="23" spans="1:7" x14ac:dyDescent="0.25">
      <c r="F23" s="2"/>
    </row>
    <row r="24" spans="1:7" x14ac:dyDescent="0.25">
      <c r="A24" t="s">
        <v>13</v>
      </c>
      <c r="F24" s="3">
        <f>SUM(F18:F22)</f>
        <v>28337750</v>
      </c>
      <c r="G24" s="4"/>
    </row>
    <row r="25" spans="1:7" x14ac:dyDescent="0.25">
      <c r="A25" t="s">
        <v>9</v>
      </c>
      <c r="F25" s="1">
        <v>4298422</v>
      </c>
      <c r="G25" s="1"/>
    </row>
    <row r="26" spans="1:7" x14ac:dyDescent="0.25">
      <c r="F26" s="2"/>
      <c r="G26" s="7">
        <f>F24-F25</f>
        <v>24039328</v>
      </c>
    </row>
    <row r="27" spans="1:7" x14ac:dyDescent="0.25">
      <c r="A27" t="s">
        <v>10</v>
      </c>
      <c r="G27" s="8">
        <f>G14-G26</f>
        <v>4492172</v>
      </c>
    </row>
    <row r="29" spans="1:7" x14ac:dyDescent="0.25">
      <c r="A29" t="s">
        <v>11</v>
      </c>
    </row>
    <row r="30" spans="1:7" x14ac:dyDescent="0.25">
      <c r="A30" t="s">
        <v>14</v>
      </c>
      <c r="E30" s="1">
        <v>1500000</v>
      </c>
    </row>
    <row r="31" spans="1:7" x14ac:dyDescent="0.25">
      <c r="A31" t="s">
        <v>12</v>
      </c>
      <c r="E31" s="1">
        <v>6000</v>
      </c>
    </row>
    <row r="32" spans="1:7" x14ac:dyDescent="0.25">
      <c r="A32" t="s">
        <v>23</v>
      </c>
      <c r="E32" s="1">
        <v>14400</v>
      </c>
    </row>
    <row r="33" spans="1:7" x14ac:dyDescent="0.25">
      <c r="A33" t="s">
        <v>24</v>
      </c>
      <c r="E33" s="5">
        <v>11000</v>
      </c>
    </row>
    <row r="34" spans="1:7" x14ac:dyDescent="0.25">
      <c r="A34" t="s">
        <v>25</v>
      </c>
      <c r="E34" s="5">
        <v>8500</v>
      </c>
      <c r="G34" s="6"/>
    </row>
    <row r="35" spans="1:7" x14ac:dyDescent="0.25">
      <c r="A35" t="s">
        <v>26</v>
      </c>
      <c r="E35" s="10">
        <v>40000</v>
      </c>
      <c r="G35" s="7"/>
    </row>
    <row r="36" spans="1:7" x14ac:dyDescent="0.25">
      <c r="A36" t="s">
        <v>27</v>
      </c>
      <c r="E36" s="10">
        <v>70400</v>
      </c>
      <c r="G36" s="3"/>
    </row>
    <row r="37" spans="1:7" x14ac:dyDescent="0.25">
      <c r="A37" t="s">
        <v>28</v>
      </c>
      <c r="E37" s="10">
        <v>622000</v>
      </c>
      <c r="G37" s="7"/>
    </row>
    <row r="38" spans="1:7" x14ac:dyDescent="0.25">
      <c r="E38" s="12"/>
      <c r="G38" s="7"/>
    </row>
    <row r="39" spans="1:7" x14ac:dyDescent="0.25">
      <c r="G39" s="13">
        <f>SUM(E30:E38)</f>
        <v>2272300</v>
      </c>
    </row>
    <row r="40" spans="1:7" x14ac:dyDescent="0.25">
      <c r="G40" s="11">
        <f>G27-G39</f>
        <v>2219872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2025-11-03T05:34:02Z</cp:lastPrinted>
  <dcterms:created xsi:type="dcterms:W3CDTF">2023-07-08T06:03:13Z</dcterms:created>
  <dcterms:modified xsi:type="dcterms:W3CDTF">2026-04-24T07:55:12Z</dcterms:modified>
</cp:coreProperties>
</file>