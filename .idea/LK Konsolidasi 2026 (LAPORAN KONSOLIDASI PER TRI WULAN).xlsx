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3. FREELANCE\BU DINA\"/>
    </mc:Choice>
  </mc:AlternateContent>
  <xr:revisionPtr revIDLastSave="0" documentId="13_ncr:1_{F791E009-61D1-43B8-ABDF-E374CC745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RACA" sheetId="1" r:id="rId1"/>
    <sheet name="RUGI LABA" sheetId="2" r:id="rId2"/>
  </sheets>
  <definedNames>
    <definedName name="_xlnm.Print_Area" localSheetId="0">NERACA!$A$84:$E$123</definedName>
    <definedName name="_xlnm.Print_Area" localSheetId="1">'RUGI LABA'!$A$81:$E$117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E52" i="1"/>
  <c r="C65" i="2"/>
  <c r="C64" i="2"/>
  <c r="C54" i="2"/>
  <c r="C49" i="2"/>
  <c r="C63" i="1"/>
  <c r="C51" i="1" l="1"/>
  <c r="C49" i="1"/>
  <c r="D76" i="2" l="1"/>
  <c r="D48" i="1"/>
  <c r="E48" i="1"/>
  <c r="E49" i="1"/>
  <c r="E50" i="1"/>
  <c r="E51" i="1"/>
  <c r="E53" i="1"/>
  <c r="E54" i="1"/>
  <c r="E55" i="1"/>
  <c r="E56" i="1"/>
  <c r="C57" i="1"/>
  <c r="D57" i="1"/>
  <c r="E58" i="1"/>
  <c r="E59" i="1"/>
  <c r="E60" i="1"/>
  <c r="E61" i="1"/>
  <c r="E62" i="1"/>
  <c r="E63" i="1"/>
  <c r="E64" i="1"/>
  <c r="E65" i="1"/>
  <c r="E66" i="1"/>
  <c r="E67" i="1"/>
  <c r="C68" i="1"/>
  <c r="D68" i="1"/>
  <c r="E69" i="1"/>
  <c r="E70" i="1"/>
  <c r="E71" i="1"/>
  <c r="E72" i="1"/>
  <c r="E73" i="1"/>
  <c r="E74" i="1"/>
  <c r="E75" i="1"/>
  <c r="E76" i="1"/>
  <c r="D78" i="1"/>
  <c r="E79" i="1"/>
  <c r="E90" i="1"/>
  <c r="E91" i="1"/>
  <c r="E92" i="1"/>
  <c r="E93" i="1"/>
  <c r="E95" i="1"/>
  <c r="E96" i="1"/>
  <c r="E97" i="1"/>
  <c r="C99" i="1"/>
  <c r="D99" i="1"/>
  <c r="E100" i="1"/>
  <c r="E101" i="1"/>
  <c r="E102" i="1"/>
  <c r="E103" i="1"/>
  <c r="E104" i="1"/>
  <c r="E105" i="1"/>
  <c r="E106" i="1"/>
  <c r="E107" i="1"/>
  <c r="E108" i="1"/>
  <c r="E109" i="1"/>
  <c r="C110" i="1"/>
  <c r="D110" i="1"/>
  <c r="E110" i="1" s="1"/>
  <c r="E111" i="1"/>
  <c r="E112" i="1"/>
  <c r="E113" i="1"/>
  <c r="E114" i="1"/>
  <c r="E115" i="1"/>
  <c r="E116" i="1"/>
  <c r="E117" i="1"/>
  <c r="E118" i="1"/>
  <c r="E119" i="1"/>
  <c r="C120" i="1"/>
  <c r="D120" i="1"/>
  <c r="E131" i="1"/>
  <c r="E132" i="1"/>
  <c r="E133" i="1"/>
  <c r="E134" i="1"/>
  <c r="E136" i="1"/>
  <c r="E137" i="1"/>
  <c r="E138" i="1"/>
  <c r="E139" i="1"/>
  <c r="C140" i="1"/>
  <c r="D140" i="1"/>
  <c r="E141" i="1"/>
  <c r="E142" i="1"/>
  <c r="E143" i="1"/>
  <c r="E144" i="1"/>
  <c r="E145" i="1"/>
  <c r="E146" i="1"/>
  <c r="E147" i="1"/>
  <c r="E148" i="1"/>
  <c r="E149" i="1"/>
  <c r="E150" i="1"/>
  <c r="C151" i="1"/>
  <c r="D151" i="1"/>
  <c r="E152" i="1"/>
  <c r="E153" i="1"/>
  <c r="E154" i="1"/>
  <c r="E155" i="1"/>
  <c r="E156" i="1"/>
  <c r="E157" i="1"/>
  <c r="E158" i="1"/>
  <c r="E159" i="1"/>
  <c r="C161" i="1"/>
  <c r="E162" i="1"/>
  <c r="E173" i="1"/>
  <c r="E174" i="1"/>
  <c r="E175" i="1"/>
  <c r="E176" i="1"/>
  <c r="E177" i="1"/>
  <c r="E178" i="1"/>
  <c r="E179" i="1"/>
  <c r="E180" i="1"/>
  <c r="E181" i="1"/>
  <c r="D182" i="1"/>
  <c r="E183" i="1"/>
  <c r="E184" i="1"/>
  <c r="E185" i="1"/>
  <c r="E186" i="1"/>
  <c r="E187" i="1"/>
  <c r="E188" i="1"/>
  <c r="E189" i="1"/>
  <c r="E190" i="1"/>
  <c r="E191" i="1"/>
  <c r="E192" i="1"/>
  <c r="D193" i="1"/>
  <c r="D205" i="1" s="1"/>
  <c r="E194" i="1"/>
  <c r="E195" i="1"/>
  <c r="E196" i="1"/>
  <c r="E197" i="1"/>
  <c r="E198" i="1"/>
  <c r="E199" i="1"/>
  <c r="E200" i="1"/>
  <c r="E201" i="1"/>
  <c r="E202" i="1"/>
  <c r="C203" i="1"/>
  <c r="D203" i="1"/>
  <c r="E204" i="1"/>
  <c r="E49" i="2"/>
  <c r="E50" i="2"/>
  <c r="E51" i="2"/>
  <c r="E52" i="2"/>
  <c r="E53" i="2"/>
  <c r="D54" i="2"/>
  <c r="E54" i="2" s="1"/>
  <c r="D55" i="2"/>
  <c r="E55" i="2" s="1"/>
  <c r="E56" i="2"/>
  <c r="C57" i="2"/>
  <c r="E58" i="2"/>
  <c r="E59" i="2"/>
  <c r="E61" i="2"/>
  <c r="E62" i="2"/>
  <c r="E63" i="2"/>
  <c r="C76" i="2"/>
  <c r="E65" i="2"/>
  <c r="E66" i="2"/>
  <c r="E67" i="2"/>
  <c r="E68" i="2"/>
  <c r="E69" i="2"/>
  <c r="E70" i="2"/>
  <c r="E71" i="2"/>
  <c r="E72" i="2"/>
  <c r="E73" i="2"/>
  <c r="E74" i="2"/>
  <c r="E77" i="2"/>
  <c r="E86" i="2"/>
  <c r="E87" i="2"/>
  <c r="E88" i="2"/>
  <c r="E89" i="2"/>
  <c r="E90" i="2"/>
  <c r="D91" i="2"/>
  <c r="E91" i="2"/>
  <c r="D92" i="2"/>
  <c r="E92" i="2" s="1"/>
  <c r="E93" i="2"/>
  <c r="C94" i="2"/>
  <c r="E95" i="2"/>
  <c r="E96" i="2"/>
  <c r="E98" i="2"/>
  <c r="E99" i="2"/>
  <c r="E100" i="2"/>
  <c r="C114" i="2"/>
  <c r="E102" i="2"/>
  <c r="E103" i="2"/>
  <c r="E104" i="2"/>
  <c r="E105" i="2"/>
  <c r="E106" i="2"/>
  <c r="E107" i="2"/>
  <c r="E108" i="2"/>
  <c r="E109" i="2"/>
  <c r="E110" i="2"/>
  <c r="E111" i="2"/>
  <c r="E112" i="2"/>
  <c r="D114" i="2"/>
  <c r="E115" i="2"/>
  <c r="E125" i="2"/>
  <c r="E126" i="2"/>
  <c r="E127" i="2"/>
  <c r="E128" i="2"/>
  <c r="E129" i="2"/>
  <c r="D130" i="2"/>
  <c r="E130" i="2" s="1"/>
  <c r="D131" i="2"/>
  <c r="E131" i="2" s="1"/>
  <c r="E132" i="2"/>
  <c r="C133" i="2"/>
  <c r="E134" i="2"/>
  <c r="E135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C151" i="2"/>
  <c r="D151" i="2"/>
  <c r="E152" i="2"/>
  <c r="E162" i="2"/>
  <c r="E163" i="2"/>
  <c r="E164" i="2"/>
  <c r="E169" i="2"/>
  <c r="E171" i="2"/>
  <c r="E172" i="2"/>
  <c r="E174" i="2"/>
  <c r="E176" i="2"/>
  <c r="E179" i="2"/>
  <c r="E183" i="2"/>
  <c r="E188" i="2"/>
  <c r="E191" i="2"/>
  <c r="E178" i="2"/>
  <c r="D133" i="2" l="1"/>
  <c r="D153" i="2" s="1"/>
  <c r="D160" i="1" s="1"/>
  <c r="C163" i="1"/>
  <c r="E151" i="1"/>
  <c r="E140" i="1"/>
  <c r="E133" i="2"/>
  <c r="E181" i="2"/>
  <c r="E180" i="2"/>
  <c r="E166" i="2"/>
  <c r="C182" i="1"/>
  <c r="E182" i="1" s="1"/>
  <c r="E185" i="2"/>
  <c r="E203" i="1"/>
  <c r="E186" i="2"/>
  <c r="D57" i="2"/>
  <c r="D78" i="2" s="1"/>
  <c r="E184" i="2"/>
  <c r="D122" i="1"/>
  <c r="E182" i="2"/>
  <c r="D80" i="1"/>
  <c r="E99" i="1"/>
  <c r="E120" i="1"/>
  <c r="C122" i="1"/>
  <c r="E187" i="2"/>
  <c r="E68" i="1"/>
  <c r="E57" i="1"/>
  <c r="E151" i="2"/>
  <c r="E168" i="2"/>
  <c r="D94" i="2"/>
  <c r="E94" i="2" s="1"/>
  <c r="C153" i="2"/>
  <c r="E177" i="2"/>
  <c r="E101" i="2"/>
  <c r="E114" i="2" s="1"/>
  <c r="E167" i="2"/>
  <c r="C190" i="2"/>
  <c r="C116" i="2"/>
  <c r="D190" i="2"/>
  <c r="E175" i="2"/>
  <c r="D170" i="2"/>
  <c r="E165" i="2"/>
  <c r="C193" i="1"/>
  <c r="C78" i="2"/>
  <c r="C77" i="1" s="1"/>
  <c r="E64" i="2"/>
  <c r="E76" i="2" s="1"/>
  <c r="E122" i="1" l="1"/>
  <c r="E160" i="1"/>
  <c r="D161" i="1"/>
  <c r="E153" i="2"/>
  <c r="D116" i="2"/>
  <c r="E116" i="2" s="1"/>
  <c r="E57" i="2"/>
  <c r="D192" i="2"/>
  <c r="E190" i="2"/>
  <c r="E78" i="2"/>
  <c r="C170" i="2"/>
  <c r="C192" i="2" s="1"/>
  <c r="E193" i="1"/>
  <c r="C205" i="1"/>
  <c r="E205" i="1" s="1"/>
  <c r="H201" i="1" s="1"/>
  <c r="E6" i="2"/>
  <c r="E7" i="2"/>
  <c r="E8" i="2"/>
  <c r="E9" i="2"/>
  <c r="E10" i="2"/>
  <c r="D11" i="2"/>
  <c r="E11" i="2" s="1"/>
  <c r="D12" i="2"/>
  <c r="E12" i="2" s="1"/>
  <c r="E13" i="2"/>
  <c r="C14" i="2"/>
  <c r="E15" i="2"/>
  <c r="E16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D32" i="2"/>
  <c r="E33" i="2"/>
  <c r="E192" i="2" l="1"/>
  <c r="D163" i="1"/>
  <c r="E163" i="1" s="1"/>
  <c r="E161" i="1"/>
  <c r="E170" i="2"/>
  <c r="E77" i="1"/>
  <c r="C78" i="1"/>
  <c r="D14" i="2"/>
  <c r="E14" i="2" s="1"/>
  <c r="E32" i="2"/>
  <c r="C32" i="2"/>
  <c r="C34" i="2" s="1"/>
  <c r="D34" i="2" l="1"/>
  <c r="E34" i="2" s="1"/>
  <c r="C80" i="1"/>
  <c r="E80" i="1" s="1"/>
  <c r="E78" i="1"/>
  <c r="E38" i="1" l="1"/>
  <c r="E35" i="1"/>
  <c r="E34" i="1"/>
  <c r="E33" i="1"/>
  <c r="E32" i="1"/>
  <c r="E31" i="1"/>
  <c r="E30" i="1"/>
  <c r="E29" i="1"/>
  <c r="E28" i="1"/>
  <c r="D27" i="1"/>
  <c r="C27" i="1"/>
  <c r="E26" i="1"/>
  <c r="E25" i="1"/>
  <c r="E24" i="1"/>
  <c r="E23" i="1"/>
  <c r="E22" i="1"/>
  <c r="E21" i="1"/>
  <c r="E20" i="1"/>
  <c r="E19" i="1"/>
  <c r="E18" i="1"/>
  <c r="E17" i="1"/>
  <c r="C16" i="1"/>
  <c r="E14" i="1"/>
  <c r="E13" i="1"/>
  <c r="E12" i="1"/>
  <c r="E10" i="1"/>
  <c r="E9" i="1"/>
  <c r="E8" i="1"/>
  <c r="E7" i="1"/>
  <c r="E16" i="1" l="1"/>
  <c r="D16" i="1"/>
  <c r="E36" i="1"/>
  <c r="C37" i="1"/>
  <c r="E27" i="1"/>
  <c r="D37" i="1"/>
  <c r="D39" i="1" s="1"/>
  <c r="E37" i="1" l="1"/>
  <c r="E39" i="1" s="1"/>
  <c r="C39" i="1"/>
</calcChain>
</file>

<file path=xl/sharedStrings.xml><?xml version="1.0" encoding="utf-8"?>
<sst xmlns="http://schemas.openxmlformats.org/spreadsheetml/2006/main" count="395" uniqueCount="98">
  <si>
    <t>NERACA KKP LIDIA GKJ MANAHAN</t>
  </si>
  <si>
    <t>KETERANGAN</t>
  </si>
  <si>
    <t>NERACA</t>
  </si>
  <si>
    <t>NERACA TOKO</t>
  </si>
  <si>
    <t>NERACA KONSOLIDASI</t>
  </si>
  <si>
    <t>AKTIVA</t>
  </si>
  <si>
    <t>Kas</t>
  </si>
  <si>
    <t>Tabungan</t>
  </si>
  <si>
    <t xml:space="preserve">Deposito </t>
  </si>
  <si>
    <t>Piutang Usaha</t>
  </si>
  <si>
    <t>Cadangan Kerugian Piutang</t>
  </si>
  <si>
    <t>Persediaan Barang Dagangan</t>
  </si>
  <si>
    <t>Uang Muka Pajak</t>
  </si>
  <si>
    <t>Inventaris Kantor</t>
  </si>
  <si>
    <t>Akumulasi Peny Inventaris Kantor</t>
  </si>
  <si>
    <t>TOTAL  AKTIVA</t>
  </si>
  <si>
    <t>PASIVA</t>
  </si>
  <si>
    <t>HUTANG</t>
  </si>
  <si>
    <t>Hutang Pajak</t>
  </si>
  <si>
    <t>Simpanan Sukarela</t>
  </si>
  <si>
    <t>Simpanan Khusus/ CRK</t>
  </si>
  <si>
    <t xml:space="preserve">Titipan </t>
  </si>
  <si>
    <t>Rupa-rupa Pasiva</t>
  </si>
  <si>
    <t>Cadangan Dana Pelatihan &amp; Pendidikan</t>
  </si>
  <si>
    <t>Cadangan Dana Pengembangan Usaha</t>
  </si>
  <si>
    <t>TOTAL HUTANG</t>
  </si>
  <si>
    <t>MODAL</t>
  </si>
  <si>
    <t>Saham/ Simpanan Pokok</t>
  </si>
  <si>
    <t>Simpanan Wajib</t>
  </si>
  <si>
    <t>Hibah</t>
  </si>
  <si>
    <t>Cadangan Umum</t>
  </si>
  <si>
    <t>Modal Toko</t>
  </si>
  <si>
    <t>Laba yang ditahan</t>
  </si>
  <si>
    <t>Laba/Rugi Tahun berjalan</t>
  </si>
  <si>
    <t>TOTAL MODAL</t>
  </si>
  <si>
    <t>TOTAL PASIVA</t>
  </si>
  <si>
    <t>NO.</t>
  </si>
  <si>
    <t xml:space="preserve">RUGI/LABA </t>
  </si>
  <si>
    <t xml:space="preserve">RUGI LABA </t>
  </si>
  <si>
    <t>TOKO LIDIA</t>
  </si>
  <si>
    <t>KONSOLIDASI</t>
  </si>
  <si>
    <t>PENDAPATAN</t>
  </si>
  <si>
    <t>Pendapatan Bunga Pinjaman</t>
  </si>
  <si>
    <t>Denda Pinjaman</t>
  </si>
  <si>
    <t>Pendapatan Provisi</t>
  </si>
  <si>
    <t xml:space="preserve">Pendapatan Lain </t>
  </si>
  <si>
    <t xml:space="preserve">Pendapatan Toko </t>
  </si>
  <si>
    <t>Pendapatan Bunga Bank</t>
  </si>
  <si>
    <t>Pendapatan Bunga Deposito</t>
  </si>
  <si>
    <t>Jumlah Pendapatan</t>
  </si>
  <si>
    <t>BIAYA-BIAYA</t>
  </si>
  <si>
    <t>Biaya Administrasi Kantor</t>
  </si>
  <si>
    <t>Biaya RAT</t>
  </si>
  <si>
    <t>Biaya Administrasi Bank</t>
  </si>
  <si>
    <t>Pajak Bunga Bank</t>
  </si>
  <si>
    <t>Sumbangan/ Persembahan</t>
  </si>
  <si>
    <t>Biaya Penyusutan Inventaris Kantor</t>
  </si>
  <si>
    <t>Biaya Rapat Pengurus</t>
  </si>
  <si>
    <t>Biaya Perkoperasian</t>
  </si>
  <si>
    <t>Biaya Operasional Lain</t>
  </si>
  <si>
    <t>Harga Pokok Penjualan</t>
  </si>
  <si>
    <t>Biaya Transportasi</t>
  </si>
  <si>
    <t>Denda Pajak</t>
  </si>
  <si>
    <t>Jumlah Biaya</t>
  </si>
  <si>
    <t>LABA USAHA</t>
  </si>
  <si>
    <t>Biaya Administrasi Toko</t>
  </si>
  <si>
    <t>Transpot toko</t>
  </si>
  <si>
    <t>Pembelian Barang Dagang</t>
  </si>
  <si>
    <t>Pajak PPH 29</t>
  </si>
  <si>
    <t>Pelatihan SRI</t>
  </si>
  <si>
    <t>PPH Ps. 29</t>
  </si>
  <si>
    <t>Cadangan Resiko Kredit Piutang</t>
  </si>
  <si>
    <t>PER 30 JUNI 2025</t>
  </si>
  <si>
    <t>RUGI/LABA PERIODE 1 APRIL  S/D 30 JUNI 2025</t>
  </si>
  <si>
    <t>PER 30 SEPTEMBER 2025</t>
  </si>
  <si>
    <t>PER 30 SEPT 2025</t>
  </si>
  <si>
    <t>PER 30 JUNI  2025</t>
  </si>
  <si>
    <t>PER 31 DESEMBER 2025</t>
  </si>
  <si>
    <t>PER 31 DES 2025</t>
  </si>
  <si>
    <t>PER 31 DESEMBER 2025 (TAHUNAN)</t>
  </si>
  <si>
    <t>RUGI/LABA PERIODE 1 JULI  S/D 30 SEPTEMBER 2025</t>
  </si>
  <si>
    <t>RUGI/LABA PERIODE 1 OKTOBER S/D 31 DESEMBER 20245</t>
  </si>
  <si>
    <t>RUGI/LABA PERIODE 1 JANUARI S/D 31 DESEMBER 2025 (TAHUNAN)</t>
  </si>
  <si>
    <t xml:space="preserve">Biaya Administrasi </t>
  </si>
  <si>
    <t>PER 31  MARET 2026</t>
  </si>
  <si>
    <t>PER 31 MARET 2026</t>
  </si>
  <si>
    <t>RUGI/LABA PERIODE 1 JANUARI  S/D 31 MARET 2026</t>
  </si>
  <si>
    <t>Biaya Administrasi</t>
  </si>
  <si>
    <t>bunga flat</t>
  </si>
  <si>
    <t>sekretaris</t>
  </si>
  <si>
    <t>bendahara</t>
  </si>
  <si>
    <t>ke</t>
  </si>
  <si>
    <t>Surakarta, 31 Maret 2026</t>
  </si>
  <si>
    <t>Pengurus KKP Lidia GKJ Manahan</t>
  </si>
  <si>
    <t>ketua</t>
  </si>
  <si>
    <t>Ema Kusumawati</t>
  </si>
  <si>
    <t>Wisaptini</t>
  </si>
  <si>
    <t>Ariastuti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</si>
</sst>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_);_(@_)"/>
    <numFmt numFmtId="165" formatCode="_-* #,##0.00_-;\-* #,##0.00_-;_-* &quot;-&quot;_-;_-@_-"/>
    <numFmt numFmtId="166" formatCode="_-&quot;Rp&quot;* #,##0_-;\-&quot;Rp&quot;* #,##0_-;_-&quot;Rp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2" applyFont="1"/>
    <xf numFmtId="0" fontId="3" fillId="0" borderId="0" xfId="0" applyFont="1"/>
    <xf numFmtId="0" fontId="3" fillId="0" borderId="0" xfId="2" applyFont="1"/>
    <xf numFmtId="0" fontId="3" fillId="0" borderId="1" xfId="2" applyFont="1" applyBorder="1"/>
    <xf numFmtId="0" fontId="2" fillId="0" borderId="2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3" xfId="2" applyFont="1" applyBorder="1"/>
    <xf numFmtId="0" fontId="3" fillId="0" borderId="4" xfId="2" applyFont="1" applyBorder="1"/>
    <xf numFmtId="0" fontId="2" fillId="0" borderId="3" xfId="0" applyFont="1" applyBorder="1" applyAlignment="1">
      <alignment horizontal="center"/>
    </xf>
    <xf numFmtId="0" fontId="4" fillId="0" borderId="5" xfId="2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6" xfId="2" applyFont="1" applyBorder="1"/>
    <xf numFmtId="43" fontId="3" fillId="0" borderId="6" xfId="3" applyFont="1" applyBorder="1" applyAlignment="1"/>
    <xf numFmtId="164" fontId="3" fillId="0" borderId="6" xfId="1" applyNumberFormat="1" applyFont="1" applyBorder="1"/>
    <xf numFmtId="43" fontId="3" fillId="0" borderId="6" xfId="0" applyNumberFormat="1" applyFont="1" applyBorder="1"/>
    <xf numFmtId="0" fontId="3" fillId="2" borderId="0" xfId="2" applyFont="1" applyFill="1"/>
    <xf numFmtId="164" fontId="3" fillId="0" borderId="6" xfId="4" applyNumberFormat="1" applyFont="1" applyBorder="1" applyAlignment="1"/>
    <xf numFmtId="43" fontId="3" fillId="0" borderId="6" xfId="3" applyFont="1" applyFill="1" applyBorder="1" applyAlignment="1"/>
    <xf numFmtId="164" fontId="3" fillId="0" borderId="0" xfId="1" applyNumberFormat="1" applyFont="1"/>
    <xf numFmtId="0" fontId="4" fillId="0" borderId="0" xfId="2" applyFont="1"/>
    <xf numFmtId="43" fontId="2" fillId="0" borderId="6" xfId="3" applyFont="1" applyBorder="1" applyAlignment="1"/>
    <xf numFmtId="164" fontId="2" fillId="0" borderId="6" xfId="1" applyNumberFormat="1" applyFont="1" applyBorder="1"/>
    <xf numFmtId="43" fontId="2" fillId="0" borderId="6" xfId="0" applyNumberFormat="1" applyFont="1" applyBorder="1"/>
    <xf numFmtId="43" fontId="3" fillId="0" borderId="0" xfId="0" applyNumberFormat="1" applyFont="1"/>
    <xf numFmtId="0" fontId="3" fillId="0" borderId="3" xfId="0" applyFont="1" applyBorder="1"/>
    <xf numFmtId="0" fontId="4" fillId="0" borderId="7" xfId="2" applyFont="1" applyBorder="1"/>
    <xf numFmtId="43" fontId="2" fillId="0" borderId="3" xfId="0" applyNumberFormat="1" applyFont="1" applyBorder="1"/>
    <xf numFmtId="164" fontId="2" fillId="0" borderId="3" xfId="1" applyNumberFormat="1" applyFont="1" applyBorder="1"/>
    <xf numFmtId="0" fontId="6" fillId="0" borderId="0" xfId="0" applyFont="1"/>
    <xf numFmtId="0" fontId="2" fillId="0" borderId="0" xfId="0" applyFont="1"/>
    <xf numFmtId="0" fontId="3" fillId="0" borderId="0" xfId="5" applyFont="1"/>
    <xf numFmtId="0" fontId="6" fillId="0" borderId="0" xfId="5" applyFont="1"/>
    <xf numFmtId="0" fontId="6" fillId="0" borderId="1" xfId="5" applyFont="1" applyBorder="1" applyAlignment="1">
      <alignment horizontal="center"/>
    </xf>
    <xf numFmtId="0" fontId="2" fillId="0" borderId="1" xfId="5" applyFont="1" applyBorder="1" applyAlignment="1">
      <alignment horizontal="center"/>
    </xf>
    <xf numFmtId="0" fontId="2" fillId="0" borderId="2" xfId="5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0" fontId="3" fillId="0" borderId="3" xfId="5" applyFont="1" applyBorder="1" applyAlignment="1">
      <alignment horizontal="center"/>
    </xf>
    <xf numFmtId="0" fontId="2" fillId="0" borderId="4" xfId="5" applyFont="1" applyBorder="1" applyAlignment="1">
      <alignment horizontal="center"/>
    </xf>
    <xf numFmtId="0" fontId="6" fillId="0" borderId="1" xfId="5" applyFont="1" applyBorder="1"/>
    <xf numFmtId="0" fontId="2" fillId="0" borderId="1" xfId="5" applyFont="1" applyBorder="1"/>
    <xf numFmtId="43" fontId="3" fillId="0" borderId="1" xfId="6" applyFont="1" applyFill="1" applyBorder="1" applyAlignment="1"/>
    <xf numFmtId="43" fontId="3" fillId="0" borderId="1" xfId="0" applyNumberFormat="1" applyFont="1" applyBorder="1"/>
    <xf numFmtId="0" fontId="7" fillId="0" borderId="6" xfId="5" applyFont="1" applyBorder="1"/>
    <xf numFmtId="0" fontId="3" fillId="0" borderId="6" xfId="5" applyFont="1" applyBorder="1"/>
    <xf numFmtId="43" fontId="8" fillId="0" borderId="6" xfId="6" applyFont="1" applyBorder="1" applyAlignment="1"/>
    <xf numFmtId="41" fontId="3" fillId="0" borderId="6" xfId="1" applyFont="1" applyBorder="1"/>
    <xf numFmtId="0" fontId="7" fillId="0" borderId="6" xfId="0" applyFont="1" applyBorder="1"/>
    <xf numFmtId="164" fontId="8" fillId="0" borderId="6" xfId="1" applyNumberFormat="1" applyFont="1" applyBorder="1"/>
    <xf numFmtId="0" fontId="0" fillId="0" borderId="6" xfId="0" applyBorder="1"/>
    <xf numFmtId="43" fontId="8" fillId="2" borderId="6" xfId="6" applyFont="1" applyFill="1" applyBorder="1" applyAlignment="1"/>
    <xf numFmtId="43" fontId="3" fillId="2" borderId="6" xfId="6" applyFont="1" applyFill="1" applyBorder="1" applyAlignment="1"/>
    <xf numFmtId="0" fontId="4" fillId="0" borderId="6" xfId="5" applyFont="1" applyBorder="1"/>
    <xf numFmtId="43" fontId="4" fillId="0" borderId="6" xfId="6" applyFont="1" applyBorder="1" applyAlignment="1"/>
    <xf numFmtId="43" fontId="4" fillId="0" borderId="6" xfId="0" applyNumberFormat="1" applyFont="1" applyBorder="1"/>
    <xf numFmtId="0" fontId="6" fillId="0" borderId="6" xfId="5" applyFont="1" applyBorder="1"/>
    <xf numFmtId="0" fontId="2" fillId="0" borderId="6" xfId="5" applyFont="1" applyBorder="1"/>
    <xf numFmtId="43" fontId="3" fillId="0" borderId="6" xfId="6" applyFont="1" applyBorder="1" applyAlignment="1"/>
    <xf numFmtId="43" fontId="3" fillId="0" borderId="6" xfId="6" applyFont="1" applyFill="1" applyBorder="1" applyAlignment="1"/>
    <xf numFmtId="0" fontId="0" fillId="0" borderId="8" xfId="0" applyBorder="1"/>
    <xf numFmtId="0" fontId="7" fillId="0" borderId="3" xfId="2" applyFont="1" applyBorder="1"/>
    <xf numFmtId="0" fontId="2" fillId="0" borderId="3" xfId="5" applyFont="1" applyBorder="1"/>
    <xf numFmtId="43" fontId="2" fillId="0" borderId="3" xfId="6" applyFont="1" applyBorder="1" applyAlignment="1"/>
    <xf numFmtId="165" fontId="3" fillId="0" borderId="6" xfId="1" applyNumberFormat="1" applyFont="1" applyBorder="1" applyAlignment="1"/>
    <xf numFmtId="43" fontId="0" fillId="0" borderId="0" xfId="0" applyNumberFormat="1"/>
    <xf numFmtId="0" fontId="9" fillId="0" borderId="0" xfId="2" applyFont="1"/>
    <xf numFmtId="0" fontId="8" fillId="0" borderId="0" xfId="0" applyFont="1"/>
    <xf numFmtId="0" fontId="8" fillId="0" borderId="0" xfId="2" applyFont="1"/>
    <xf numFmtId="0" fontId="10" fillId="0" borderId="0" xfId="0" applyFont="1"/>
    <xf numFmtId="0" fontId="8" fillId="0" borderId="1" xfId="2" applyFont="1" applyBorder="1"/>
    <xf numFmtId="0" fontId="9" fillId="0" borderId="2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3" xfId="2" applyFont="1" applyBorder="1"/>
    <xf numFmtId="0" fontId="8" fillId="0" borderId="4" xfId="2" applyFont="1" applyBorder="1"/>
    <xf numFmtId="0" fontId="9" fillId="0" borderId="3" xfId="0" applyFont="1" applyBorder="1" applyAlignment="1">
      <alignment horizontal="center"/>
    </xf>
    <xf numFmtId="0" fontId="11" fillId="0" borderId="5" xfId="2" applyFont="1" applyBorder="1"/>
    <xf numFmtId="0" fontId="8" fillId="0" borderId="1" xfId="0" applyFont="1" applyBorder="1"/>
    <xf numFmtId="0" fontId="8" fillId="0" borderId="6" xfId="0" applyFont="1" applyBorder="1"/>
    <xf numFmtId="0" fontId="8" fillId="0" borderId="6" xfId="2" applyFont="1" applyBorder="1"/>
    <xf numFmtId="43" fontId="8" fillId="0" borderId="6" xfId="3" applyFont="1" applyBorder="1" applyAlignment="1"/>
    <xf numFmtId="43" fontId="8" fillId="0" borderId="6" xfId="0" applyNumberFormat="1" applyFont="1" applyBorder="1"/>
    <xf numFmtId="0" fontId="8" fillId="2" borderId="0" xfId="2" applyFont="1" applyFill="1"/>
    <xf numFmtId="164" fontId="8" fillId="0" borderId="6" xfId="4" applyNumberFormat="1" applyFont="1" applyBorder="1" applyAlignment="1"/>
    <xf numFmtId="43" fontId="8" fillId="0" borderId="6" xfId="3" applyFont="1" applyFill="1" applyBorder="1" applyAlignment="1"/>
    <xf numFmtId="164" fontId="8" fillId="0" borderId="0" xfId="1" applyNumberFormat="1" applyFont="1"/>
    <xf numFmtId="0" fontId="11" fillId="0" borderId="0" xfId="2" applyFont="1"/>
    <xf numFmtId="43" fontId="9" fillId="0" borderId="6" xfId="3" applyFont="1" applyBorder="1" applyAlignment="1"/>
    <xf numFmtId="164" fontId="9" fillId="0" borderId="6" xfId="1" applyNumberFormat="1" applyFont="1" applyBorder="1"/>
    <xf numFmtId="43" fontId="9" fillId="0" borderId="6" xfId="0" applyNumberFormat="1" applyFont="1" applyBorder="1"/>
    <xf numFmtId="43" fontId="8" fillId="0" borderId="0" xfId="0" applyNumberFormat="1" applyFont="1"/>
    <xf numFmtId="0" fontId="8" fillId="0" borderId="3" xfId="0" applyFont="1" applyBorder="1"/>
    <xf numFmtId="0" fontId="11" fillId="0" borderId="7" xfId="2" applyFont="1" applyBorder="1"/>
    <xf numFmtId="43" fontId="9" fillId="0" borderId="3" xfId="0" applyNumberFormat="1" applyFont="1" applyBorder="1"/>
    <xf numFmtId="164" fontId="9" fillId="0" borderId="3" xfId="1" applyNumberFormat="1" applyFont="1" applyBorder="1"/>
    <xf numFmtId="165" fontId="3" fillId="0" borderId="0" xfId="1" applyNumberFormat="1" applyFont="1"/>
    <xf numFmtId="166" fontId="0" fillId="0" borderId="0" xfId="7" applyNumberFormat="1" applyFont="1"/>
    <xf numFmtId="17" fontId="0" fillId="0" borderId="0" xfId="0" applyNumberFormat="1"/>
    <xf numFmtId="9" fontId="0" fillId="0" borderId="0" xfId="0" applyNumberFormat="1"/>
    <xf numFmtId="166" fontId="0" fillId="0" borderId="0" xfId="0" applyNumberFormat="1"/>
    <xf numFmtId="0" fontId="7" fillId="0" borderId="0" xfId="2" applyFont="1" applyBorder="1"/>
    <xf numFmtId="0" fontId="2" fillId="0" borderId="0" xfId="5" applyFont="1" applyBorder="1"/>
    <xf numFmtId="43" fontId="2" fillId="0" borderId="0" xfId="6" applyFont="1" applyBorder="1" applyAlignment="1"/>
    <xf numFmtId="43" fontId="2" fillId="0" borderId="0" xfId="0" applyNumberFormat="1" applyFont="1" applyBorder="1"/>
    <xf numFmtId="0" fontId="2" fillId="0" borderId="0" xfId="5" applyFont="1" applyBorder="1" applyAlignment="1">
      <alignment horizontal="center"/>
    </xf>
  </cellXfs>
  <cellStyles count="8">
    <cellStyle name="Comma [0]" xfId="1" builtinId="6"/>
    <cellStyle name="Comma [0] 3" xfId="4" xr:uid="{00000000-0005-0000-0000-000001000000}"/>
    <cellStyle name="Comma 7" xfId="3" xr:uid="{00000000-0005-0000-0000-000002000000}"/>
    <cellStyle name="Comma 8" xfId="6" xr:uid="{00000000-0005-0000-0000-000003000000}"/>
    <cellStyle name="Currency" xfId="7" builtinId="4"/>
    <cellStyle name="Normal" xfId="0" builtinId="0"/>
    <cellStyle name="Normal 4" xfId="5" xr:uid="{00000000-0005-0000-0000-000005000000}"/>
    <cellStyle name="Normal 5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4"/>
  <sheetViews>
    <sheetView tabSelected="1" zoomScaleNormal="100" workbookViewId="0">
      <selection activeCell="E208" sqref="B208:E214"/>
    </sheetView>
  </sheetViews>
  <sheetFormatPr defaultRowHeight="14.4" x14ac:dyDescent="0.3"/>
  <cols>
    <col min="1" max="1" width="4.6640625" customWidth="1"/>
    <col min="2" max="2" width="38.88671875" bestFit="1" customWidth="1"/>
    <col min="3" max="4" width="20.5546875" bestFit="1" customWidth="1"/>
    <col min="5" max="5" width="23.33203125" bestFit="1" customWidth="1"/>
    <col min="7" max="7" width="16.109375" bestFit="1" customWidth="1"/>
    <col min="8" max="8" width="11.5546875" bestFit="1" customWidth="1"/>
    <col min="9" max="9" width="11" bestFit="1" customWidth="1"/>
  </cols>
  <sheetData>
    <row r="1" spans="1:9" ht="15.6" x14ac:dyDescent="0.3">
      <c r="A1" s="1" t="s">
        <v>0</v>
      </c>
      <c r="B1" s="2"/>
      <c r="C1" s="3"/>
    </row>
    <row r="2" spans="1:9" ht="15.6" x14ac:dyDescent="0.3">
      <c r="A2" s="1" t="s">
        <v>84</v>
      </c>
      <c r="B2" s="2"/>
      <c r="C2" s="3"/>
    </row>
    <row r="3" spans="1:9" ht="15.6" x14ac:dyDescent="0.3">
      <c r="A3" s="1"/>
      <c r="B3" s="3"/>
      <c r="C3" s="3"/>
    </row>
    <row r="4" spans="1:9" ht="15.6" x14ac:dyDescent="0.3">
      <c r="A4" s="4"/>
      <c r="B4" s="5" t="s">
        <v>1</v>
      </c>
      <c r="C4" s="6" t="s">
        <v>2</v>
      </c>
      <c r="D4" s="7" t="s">
        <v>3</v>
      </c>
      <c r="E4" s="7" t="s">
        <v>4</v>
      </c>
    </row>
    <row r="5" spans="1:9" ht="15.6" x14ac:dyDescent="0.3">
      <c r="A5" s="8"/>
      <c r="B5" s="9"/>
      <c r="C5" s="10" t="s">
        <v>85</v>
      </c>
      <c r="D5" s="10" t="s">
        <v>85</v>
      </c>
      <c r="E5" s="10" t="s">
        <v>84</v>
      </c>
    </row>
    <row r="6" spans="1:9" ht="15.6" x14ac:dyDescent="0.3">
      <c r="A6" s="4"/>
      <c r="B6" s="11" t="s">
        <v>5</v>
      </c>
      <c r="C6" s="12"/>
      <c r="D6" s="13"/>
      <c r="E6" s="12"/>
    </row>
    <row r="7" spans="1:9" ht="15.6" x14ac:dyDescent="0.3">
      <c r="A7" s="14"/>
      <c r="B7" s="3" t="s">
        <v>6</v>
      </c>
      <c r="C7" s="15">
        <v>76497877</v>
      </c>
      <c r="D7" s="16">
        <v>19621786</v>
      </c>
      <c r="E7" s="17">
        <f>SUM(C7:D7)</f>
        <v>96119663</v>
      </c>
      <c r="G7" s="99">
        <v>45474</v>
      </c>
    </row>
    <row r="8" spans="1:9" ht="15.6" x14ac:dyDescent="0.3">
      <c r="A8" s="14"/>
      <c r="B8" s="18" t="s">
        <v>7</v>
      </c>
      <c r="C8" s="15">
        <v>368626659</v>
      </c>
      <c r="D8" s="16">
        <v>0</v>
      </c>
      <c r="E8" s="17">
        <f t="shared" ref="E8:E10" si="0">SUM(C8:D8)</f>
        <v>368626659</v>
      </c>
      <c r="H8" t="s">
        <v>88</v>
      </c>
    </row>
    <row r="9" spans="1:9" ht="15.6" x14ac:dyDescent="0.3">
      <c r="A9" s="14"/>
      <c r="B9" s="3" t="s">
        <v>8</v>
      </c>
      <c r="C9" s="15">
        <v>100000000</v>
      </c>
      <c r="D9" s="16">
        <v>0</v>
      </c>
      <c r="E9" s="17">
        <f t="shared" si="0"/>
        <v>100000000</v>
      </c>
      <c r="G9" s="98">
        <v>10000000</v>
      </c>
      <c r="H9" s="100">
        <v>0.01</v>
      </c>
      <c r="I9" s="101">
        <f>G9*H9</f>
        <v>100000</v>
      </c>
    </row>
    <row r="10" spans="1:9" ht="15.6" x14ac:dyDescent="0.3">
      <c r="A10" s="14"/>
      <c r="B10" s="3" t="s">
        <v>9</v>
      </c>
      <c r="C10" s="15">
        <v>452950000</v>
      </c>
      <c r="D10" s="16">
        <v>0</v>
      </c>
      <c r="E10" s="17">
        <f t="shared" si="0"/>
        <v>452950000</v>
      </c>
    </row>
    <row r="11" spans="1:9" ht="15.6" x14ac:dyDescent="0.3">
      <c r="A11" s="14"/>
      <c r="B11" s="3" t="s">
        <v>10</v>
      </c>
      <c r="C11" s="19">
        <v>-334000</v>
      </c>
      <c r="D11" s="16">
        <v>0</v>
      </c>
      <c r="E11" s="19">
        <v>-334000</v>
      </c>
    </row>
    <row r="12" spans="1:9" ht="15.6" x14ac:dyDescent="0.3">
      <c r="A12" s="14"/>
      <c r="B12" s="3" t="s">
        <v>11</v>
      </c>
      <c r="C12" s="20">
        <v>0</v>
      </c>
      <c r="D12" s="21">
        <v>4298422</v>
      </c>
      <c r="E12" s="17">
        <f t="shared" ref="E12:E14" si="1">SUM(C12:D12)</f>
        <v>4298422</v>
      </c>
    </row>
    <row r="13" spans="1:9" ht="15.6" x14ac:dyDescent="0.3">
      <c r="A13" s="14"/>
      <c r="B13" s="3" t="s">
        <v>12</v>
      </c>
      <c r="C13" s="20">
        <v>3103956</v>
      </c>
      <c r="D13" s="16">
        <v>0</v>
      </c>
      <c r="E13" s="17">
        <f t="shared" si="1"/>
        <v>3103956</v>
      </c>
    </row>
    <row r="14" spans="1:9" ht="15.6" x14ac:dyDescent="0.3">
      <c r="A14" s="14"/>
      <c r="B14" s="3" t="s">
        <v>13</v>
      </c>
      <c r="C14" s="15">
        <v>28388200</v>
      </c>
      <c r="D14" s="16">
        <v>0</v>
      </c>
      <c r="E14" s="17">
        <f t="shared" si="1"/>
        <v>28388200</v>
      </c>
    </row>
    <row r="15" spans="1:9" ht="15.6" x14ac:dyDescent="0.3">
      <c r="A15" s="14"/>
      <c r="B15" s="3" t="s">
        <v>14</v>
      </c>
      <c r="C15" s="19">
        <v>-25397243</v>
      </c>
      <c r="D15" s="16">
        <v>0</v>
      </c>
      <c r="E15" s="48">
        <v>-23165691</v>
      </c>
    </row>
    <row r="16" spans="1:9" ht="15.6" x14ac:dyDescent="0.3">
      <c r="A16" s="14"/>
      <c r="B16" s="22" t="s">
        <v>15</v>
      </c>
      <c r="C16" s="23">
        <f>SUM(C7:C15)</f>
        <v>1003835449</v>
      </c>
      <c r="D16" s="24">
        <f>SUM(D7:D15)</f>
        <v>23920208</v>
      </c>
      <c r="E16" s="25">
        <f>SUM(E7:E15)</f>
        <v>1029987209</v>
      </c>
    </row>
    <row r="17" spans="1:5" ht="15.6" x14ac:dyDescent="0.3">
      <c r="A17" s="14"/>
      <c r="B17" s="2"/>
      <c r="C17" s="13"/>
      <c r="D17" s="13"/>
      <c r="E17" s="17">
        <f t="shared" ref="E17:E38" si="2">SUM(C17:D17)</f>
        <v>0</v>
      </c>
    </row>
    <row r="18" spans="1:5" ht="15.6" x14ac:dyDescent="0.3">
      <c r="A18" s="14"/>
      <c r="B18" s="22" t="s">
        <v>16</v>
      </c>
      <c r="C18" s="15"/>
      <c r="D18" s="13"/>
      <c r="E18" s="17">
        <f t="shared" si="2"/>
        <v>0</v>
      </c>
    </row>
    <row r="19" spans="1:5" ht="15.6" x14ac:dyDescent="0.3">
      <c r="A19" s="14"/>
      <c r="B19" s="22" t="s">
        <v>17</v>
      </c>
      <c r="C19" s="15"/>
      <c r="D19" s="13"/>
      <c r="E19" s="17">
        <f t="shared" si="2"/>
        <v>0</v>
      </c>
    </row>
    <row r="20" spans="1:5" ht="15.6" x14ac:dyDescent="0.3">
      <c r="A20" s="14"/>
      <c r="B20" s="3" t="s">
        <v>18</v>
      </c>
      <c r="C20" s="15">
        <v>0</v>
      </c>
      <c r="D20" s="16">
        <v>0</v>
      </c>
      <c r="E20" s="17">
        <f t="shared" si="2"/>
        <v>0</v>
      </c>
    </row>
    <row r="21" spans="1:5" ht="15.6" x14ac:dyDescent="0.3">
      <c r="A21" s="14"/>
      <c r="B21" s="3" t="s">
        <v>19</v>
      </c>
      <c r="C21" s="15">
        <v>393446497</v>
      </c>
      <c r="D21" s="16">
        <v>0</v>
      </c>
      <c r="E21" s="17">
        <f t="shared" si="2"/>
        <v>393446497</v>
      </c>
    </row>
    <row r="22" spans="1:5" ht="15.6" x14ac:dyDescent="0.3">
      <c r="A22" s="14"/>
      <c r="B22" s="3" t="s">
        <v>20</v>
      </c>
      <c r="C22" s="15">
        <v>70475000</v>
      </c>
      <c r="D22" s="16">
        <v>0</v>
      </c>
      <c r="E22" s="17">
        <f t="shared" si="2"/>
        <v>70475000</v>
      </c>
    </row>
    <row r="23" spans="1:5" ht="15.6" x14ac:dyDescent="0.3">
      <c r="A23" s="13"/>
      <c r="B23" s="2" t="s">
        <v>21</v>
      </c>
      <c r="C23" s="20">
        <v>0</v>
      </c>
      <c r="D23" s="16">
        <v>0</v>
      </c>
      <c r="E23" s="17">
        <f t="shared" si="2"/>
        <v>0</v>
      </c>
    </row>
    <row r="24" spans="1:5" ht="15.6" x14ac:dyDescent="0.3">
      <c r="A24" s="13"/>
      <c r="B24" s="3" t="s">
        <v>22</v>
      </c>
      <c r="C24" s="15">
        <v>0</v>
      </c>
      <c r="D24" s="16">
        <v>0</v>
      </c>
      <c r="E24" s="17">
        <f t="shared" si="2"/>
        <v>0</v>
      </c>
    </row>
    <row r="25" spans="1:5" ht="15.6" x14ac:dyDescent="0.3">
      <c r="A25" s="13"/>
      <c r="B25" s="3" t="s">
        <v>23</v>
      </c>
      <c r="C25" s="15">
        <v>26134460</v>
      </c>
      <c r="D25" s="16">
        <v>311000</v>
      </c>
      <c r="E25" s="17">
        <f t="shared" si="2"/>
        <v>26445460</v>
      </c>
    </row>
    <row r="26" spans="1:5" ht="15.6" x14ac:dyDescent="0.3">
      <c r="A26" s="14"/>
      <c r="B26" s="3" t="s">
        <v>71</v>
      </c>
      <c r="C26" s="15">
        <v>26134460</v>
      </c>
      <c r="D26" s="16">
        <v>311000</v>
      </c>
      <c r="E26" s="17">
        <f t="shared" si="2"/>
        <v>26445460</v>
      </c>
    </row>
    <row r="27" spans="1:5" ht="15.6" x14ac:dyDescent="0.3">
      <c r="A27" s="14"/>
      <c r="B27" s="1" t="s">
        <v>25</v>
      </c>
      <c r="C27" s="23">
        <f>SUM(C20:C26)</f>
        <v>516190417</v>
      </c>
      <c r="D27" s="24">
        <f>SUM(D20:D26)</f>
        <v>622000</v>
      </c>
      <c r="E27" s="25">
        <f t="shared" si="2"/>
        <v>516812417</v>
      </c>
    </row>
    <row r="28" spans="1:5" ht="15.6" x14ac:dyDescent="0.3">
      <c r="A28" s="14"/>
      <c r="B28" s="2"/>
      <c r="C28" s="13"/>
      <c r="D28" s="13"/>
      <c r="E28" s="17">
        <f t="shared" si="2"/>
        <v>0</v>
      </c>
    </row>
    <row r="29" spans="1:5" ht="15.6" x14ac:dyDescent="0.3">
      <c r="A29" s="14"/>
      <c r="B29" s="1" t="s">
        <v>26</v>
      </c>
      <c r="C29" s="15"/>
      <c r="D29" s="13"/>
      <c r="E29" s="17">
        <f t="shared" si="2"/>
        <v>0</v>
      </c>
    </row>
    <row r="30" spans="1:5" ht="15.6" x14ac:dyDescent="0.3">
      <c r="A30" s="13"/>
      <c r="B30" s="3" t="s">
        <v>27</v>
      </c>
      <c r="C30" s="15">
        <v>25600000</v>
      </c>
      <c r="D30" s="16">
        <v>0</v>
      </c>
      <c r="E30" s="17">
        <f t="shared" si="2"/>
        <v>25600000</v>
      </c>
    </row>
    <row r="31" spans="1:5" ht="15.6" x14ac:dyDescent="0.3">
      <c r="A31" s="13"/>
      <c r="B31" s="3" t="s">
        <v>28</v>
      </c>
      <c r="C31" s="15">
        <v>118505000</v>
      </c>
      <c r="D31" s="16">
        <v>0</v>
      </c>
      <c r="E31" s="17">
        <f t="shared" si="2"/>
        <v>118505000</v>
      </c>
    </row>
    <row r="32" spans="1:5" ht="15.6" x14ac:dyDescent="0.3">
      <c r="A32" s="14"/>
      <c r="B32" s="3" t="s">
        <v>29</v>
      </c>
      <c r="C32" s="15">
        <v>203899535</v>
      </c>
      <c r="D32" s="16">
        <v>0</v>
      </c>
      <c r="E32" s="17">
        <f t="shared" si="2"/>
        <v>203899535</v>
      </c>
    </row>
    <row r="33" spans="1:5" ht="15.6" x14ac:dyDescent="0.3">
      <c r="A33" s="14"/>
      <c r="B33" s="3" t="s">
        <v>30</v>
      </c>
      <c r="C33" s="15">
        <v>130672500</v>
      </c>
      <c r="D33" s="16">
        <v>1555000</v>
      </c>
      <c r="E33" s="17">
        <f t="shared" si="2"/>
        <v>132227500</v>
      </c>
    </row>
    <row r="34" spans="1:5" ht="15.6" x14ac:dyDescent="0.3">
      <c r="A34" s="14"/>
      <c r="B34" s="3" t="s">
        <v>31</v>
      </c>
      <c r="C34" s="20">
        <v>0</v>
      </c>
      <c r="D34" s="21">
        <v>18906175</v>
      </c>
      <c r="E34" s="17">
        <f t="shared" si="2"/>
        <v>18906175</v>
      </c>
    </row>
    <row r="35" spans="1:5" ht="15.6" x14ac:dyDescent="0.3">
      <c r="A35" s="14"/>
      <c r="B35" s="3" t="s">
        <v>32</v>
      </c>
      <c r="C35" s="15">
        <v>0</v>
      </c>
      <c r="D35" s="21">
        <v>0</v>
      </c>
      <c r="E35" s="17">
        <f t="shared" si="2"/>
        <v>0</v>
      </c>
    </row>
    <row r="36" spans="1:5" ht="15.6" x14ac:dyDescent="0.3">
      <c r="A36" s="14"/>
      <c r="B36" s="3" t="s">
        <v>33</v>
      </c>
      <c r="C36" s="15">
        <v>8967997</v>
      </c>
      <c r="D36" s="26">
        <v>2837033</v>
      </c>
      <c r="E36" s="17">
        <f t="shared" si="2"/>
        <v>11805030</v>
      </c>
    </row>
    <row r="37" spans="1:5" ht="15.6" x14ac:dyDescent="0.3">
      <c r="A37" s="14"/>
      <c r="B37" s="1" t="s">
        <v>34</v>
      </c>
      <c r="C37" s="23">
        <f>SUM(C30:C36)</f>
        <v>487645032</v>
      </c>
      <c r="D37" s="24">
        <f>SUM(D30:D36)</f>
        <v>23298208</v>
      </c>
      <c r="E37" s="25">
        <f t="shared" si="2"/>
        <v>510943240</v>
      </c>
    </row>
    <row r="38" spans="1:5" ht="15.6" x14ac:dyDescent="0.3">
      <c r="A38" s="13"/>
      <c r="B38" s="2"/>
      <c r="C38" s="13"/>
      <c r="D38" s="13"/>
      <c r="E38" s="17">
        <f t="shared" si="2"/>
        <v>0</v>
      </c>
    </row>
    <row r="39" spans="1:5" ht="15.6" x14ac:dyDescent="0.3">
      <c r="A39" s="27"/>
      <c r="B39" s="28" t="s">
        <v>35</v>
      </c>
      <c r="C39" s="29">
        <f>C27+C37</f>
        <v>1003835449</v>
      </c>
      <c r="D39" s="30">
        <f>D27+D37</f>
        <v>23920208</v>
      </c>
      <c r="E39" s="29">
        <f>+E27+E37</f>
        <v>1027755657</v>
      </c>
    </row>
    <row r="42" spans="1:5" ht="15.6" hidden="1" x14ac:dyDescent="0.3">
      <c r="A42" s="1" t="s">
        <v>0</v>
      </c>
      <c r="B42" s="2"/>
      <c r="C42" s="3"/>
    </row>
    <row r="43" spans="1:5" ht="15.6" hidden="1" x14ac:dyDescent="0.3">
      <c r="A43" s="1" t="s">
        <v>72</v>
      </c>
      <c r="B43" s="2"/>
      <c r="C43" s="3"/>
    </row>
    <row r="44" spans="1:5" ht="15.6" hidden="1" x14ac:dyDescent="0.3">
      <c r="A44" s="1"/>
      <c r="B44" s="3"/>
      <c r="C44" s="3"/>
    </row>
    <row r="45" spans="1:5" ht="15.6" hidden="1" x14ac:dyDescent="0.3">
      <c r="A45" s="4"/>
      <c r="B45" s="5" t="s">
        <v>1</v>
      </c>
      <c r="C45" s="6" t="s">
        <v>2</v>
      </c>
      <c r="D45" s="7" t="s">
        <v>3</v>
      </c>
      <c r="E45" s="7" t="s">
        <v>4</v>
      </c>
    </row>
    <row r="46" spans="1:5" ht="15.6" hidden="1" x14ac:dyDescent="0.3">
      <c r="A46" s="8"/>
      <c r="B46" s="9"/>
      <c r="C46" s="10" t="s">
        <v>72</v>
      </c>
      <c r="D46" s="10" t="s">
        <v>76</v>
      </c>
      <c r="E46" s="10" t="s">
        <v>72</v>
      </c>
    </row>
    <row r="47" spans="1:5" ht="15.6" hidden="1" x14ac:dyDescent="0.3">
      <c r="A47" s="4"/>
      <c r="B47" s="11" t="s">
        <v>5</v>
      </c>
      <c r="C47" s="12"/>
      <c r="D47" s="13"/>
      <c r="E47" s="12"/>
    </row>
    <row r="48" spans="1:5" ht="15.6" hidden="1" x14ac:dyDescent="0.3">
      <c r="A48" s="14"/>
      <c r="B48" s="3" t="s">
        <v>6</v>
      </c>
      <c r="C48" s="15">
        <v>69392397</v>
      </c>
      <c r="D48" s="16">
        <f>15202195+2351989</f>
        <v>17554184</v>
      </c>
      <c r="E48" s="17">
        <f>SUM(C48:D48)</f>
        <v>86946581</v>
      </c>
    </row>
    <row r="49" spans="1:5" ht="15.6" hidden="1" x14ac:dyDescent="0.3">
      <c r="A49" s="14"/>
      <c r="B49" s="18" t="s">
        <v>7</v>
      </c>
      <c r="C49" s="15">
        <f>256156811+69199180</f>
        <v>325355991</v>
      </c>
      <c r="D49" s="16"/>
      <c r="E49" s="17">
        <f t="shared" ref="E49:E52" si="3">SUM(C49:D49)</f>
        <v>325355991</v>
      </c>
    </row>
    <row r="50" spans="1:5" ht="15.6" hidden="1" x14ac:dyDescent="0.3">
      <c r="A50" s="14"/>
      <c r="B50" s="3" t="s">
        <v>8</v>
      </c>
      <c r="C50" s="15">
        <v>100000000</v>
      </c>
      <c r="D50" s="16">
        <v>0</v>
      </c>
      <c r="E50" s="17">
        <f t="shared" si="3"/>
        <v>100000000</v>
      </c>
    </row>
    <row r="51" spans="1:5" ht="15.6" hidden="1" x14ac:dyDescent="0.3">
      <c r="A51" s="14"/>
      <c r="B51" s="3" t="s">
        <v>9</v>
      </c>
      <c r="C51" s="15">
        <f>386050000+1400000</f>
        <v>387450000</v>
      </c>
      <c r="D51" s="16">
        <v>0</v>
      </c>
      <c r="E51" s="17">
        <f t="shared" si="3"/>
        <v>387450000</v>
      </c>
    </row>
    <row r="52" spans="1:5" ht="15.6" hidden="1" x14ac:dyDescent="0.3">
      <c r="A52" s="14"/>
      <c r="B52" s="3" t="s">
        <v>10</v>
      </c>
      <c r="C52" s="19">
        <v>-334000</v>
      </c>
      <c r="D52" s="16">
        <v>0</v>
      </c>
      <c r="E52" s="17">
        <f t="shared" si="3"/>
        <v>-334000</v>
      </c>
    </row>
    <row r="53" spans="1:5" ht="15.6" hidden="1" x14ac:dyDescent="0.3">
      <c r="A53" s="14"/>
      <c r="B53" s="3" t="s">
        <v>11</v>
      </c>
      <c r="C53" s="20">
        <v>0</v>
      </c>
      <c r="D53" s="21">
        <v>3374124</v>
      </c>
      <c r="E53" s="17">
        <f t="shared" ref="E53:E56" si="4">SUM(C53:D53)</f>
        <v>3374124</v>
      </c>
    </row>
    <row r="54" spans="1:5" ht="15.6" hidden="1" x14ac:dyDescent="0.3">
      <c r="A54" s="14"/>
      <c r="B54" s="3" t="s">
        <v>12</v>
      </c>
      <c r="C54" s="20">
        <v>1227636</v>
      </c>
      <c r="D54" s="16">
        <v>0</v>
      </c>
      <c r="E54" s="17">
        <f t="shared" si="4"/>
        <v>1227636</v>
      </c>
    </row>
    <row r="55" spans="1:5" ht="15.6" hidden="1" x14ac:dyDescent="0.3">
      <c r="A55" s="14"/>
      <c r="B55" s="3" t="s">
        <v>13</v>
      </c>
      <c r="C55" s="15">
        <v>28388200</v>
      </c>
      <c r="D55" s="16">
        <v>0</v>
      </c>
      <c r="E55" s="17">
        <f t="shared" si="4"/>
        <v>28388200</v>
      </c>
    </row>
    <row r="56" spans="1:5" ht="15.6" hidden="1" x14ac:dyDescent="0.3">
      <c r="A56" s="14"/>
      <c r="B56" s="3" t="s">
        <v>14</v>
      </c>
      <c r="C56" s="19">
        <v>-23723579</v>
      </c>
      <c r="D56" s="16">
        <v>0</v>
      </c>
      <c r="E56" s="17">
        <f t="shared" si="4"/>
        <v>-23723579</v>
      </c>
    </row>
    <row r="57" spans="1:5" ht="15.6" hidden="1" x14ac:dyDescent="0.3">
      <c r="A57" s="14"/>
      <c r="B57" s="22" t="s">
        <v>15</v>
      </c>
      <c r="C57" s="23">
        <f>SUM(C48:C56)</f>
        <v>887756645</v>
      </c>
      <c r="D57" s="24">
        <f>SUM(D48:D56)</f>
        <v>20928308</v>
      </c>
      <c r="E57" s="25">
        <f>SUM(E48:E56)</f>
        <v>908684953</v>
      </c>
    </row>
    <row r="58" spans="1:5" ht="15.6" hidden="1" x14ac:dyDescent="0.3">
      <c r="A58" s="14"/>
      <c r="B58" s="2"/>
      <c r="C58" s="13"/>
      <c r="D58" s="13"/>
      <c r="E58" s="17">
        <f t="shared" ref="E58:E80" si="5">SUM(C58:D58)</f>
        <v>0</v>
      </c>
    </row>
    <row r="59" spans="1:5" ht="15.6" hidden="1" x14ac:dyDescent="0.3">
      <c r="A59" s="14"/>
      <c r="B59" s="22" t="s">
        <v>16</v>
      </c>
      <c r="C59" s="15"/>
      <c r="D59" s="13"/>
      <c r="E59" s="17">
        <f t="shared" si="5"/>
        <v>0</v>
      </c>
    </row>
    <row r="60" spans="1:5" ht="15.6" hidden="1" x14ac:dyDescent="0.3">
      <c r="A60" s="14"/>
      <c r="B60" s="22" t="s">
        <v>17</v>
      </c>
      <c r="C60" s="15"/>
      <c r="D60" s="13"/>
      <c r="E60" s="17">
        <f t="shared" si="5"/>
        <v>0</v>
      </c>
    </row>
    <row r="61" spans="1:5" ht="15.6" hidden="1" x14ac:dyDescent="0.3">
      <c r="A61" s="14"/>
      <c r="B61" s="3" t="s">
        <v>18</v>
      </c>
      <c r="C61" s="15">
        <v>0</v>
      </c>
      <c r="D61" s="16">
        <v>0</v>
      </c>
      <c r="E61" s="17">
        <f t="shared" si="5"/>
        <v>0</v>
      </c>
    </row>
    <row r="62" spans="1:5" ht="15.6" hidden="1" x14ac:dyDescent="0.3">
      <c r="A62" s="14"/>
      <c r="B62" s="3" t="s">
        <v>19</v>
      </c>
      <c r="C62" s="15">
        <v>364309197</v>
      </c>
      <c r="D62" s="16">
        <v>0</v>
      </c>
      <c r="E62" s="17">
        <f t="shared" si="5"/>
        <v>364309197</v>
      </c>
    </row>
    <row r="63" spans="1:5" ht="15.6" hidden="1" x14ac:dyDescent="0.3">
      <c r="A63" s="14"/>
      <c r="B63" s="3" t="s">
        <v>20</v>
      </c>
      <c r="C63" s="15">
        <f>67785000+350000</f>
        <v>68135000</v>
      </c>
      <c r="D63" s="16">
        <v>0</v>
      </c>
      <c r="E63" s="17">
        <f t="shared" si="5"/>
        <v>68135000</v>
      </c>
    </row>
    <row r="64" spans="1:5" ht="15.6" hidden="1" x14ac:dyDescent="0.3">
      <c r="A64" s="13"/>
      <c r="B64" s="2" t="s">
        <v>21</v>
      </c>
      <c r="C64" s="20">
        <v>0</v>
      </c>
      <c r="D64" s="16">
        <v>0</v>
      </c>
      <c r="E64" s="17">
        <f t="shared" si="5"/>
        <v>0</v>
      </c>
    </row>
    <row r="65" spans="1:7" ht="15.6" hidden="1" x14ac:dyDescent="0.3">
      <c r="A65" s="13"/>
      <c r="B65" s="3" t="s">
        <v>22</v>
      </c>
      <c r="C65" s="15">
        <v>0</v>
      </c>
      <c r="D65" s="16">
        <v>0</v>
      </c>
      <c r="E65" s="17">
        <f t="shared" si="5"/>
        <v>0</v>
      </c>
    </row>
    <row r="66" spans="1:7" ht="15.6" hidden="1" x14ac:dyDescent="0.3">
      <c r="A66" s="13"/>
      <c r="B66" s="3" t="s">
        <v>23</v>
      </c>
      <c r="C66" s="15">
        <v>23170310</v>
      </c>
      <c r="D66" s="16">
        <v>0</v>
      </c>
      <c r="E66" s="17">
        <f t="shared" si="5"/>
        <v>23170310</v>
      </c>
    </row>
    <row r="67" spans="1:7" ht="15.6" hidden="1" x14ac:dyDescent="0.3">
      <c r="A67" s="14"/>
      <c r="B67" s="3" t="s">
        <v>24</v>
      </c>
      <c r="C67" s="15">
        <v>23170310</v>
      </c>
      <c r="D67" s="16">
        <v>0</v>
      </c>
      <c r="E67" s="17">
        <f t="shared" si="5"/>
        <v>23170310</v>
      </c>
    </row>
    <row r="68" spans="1:7" ht="15.6" hidden="1" x14ac:dyDescent="0.3">
      <c r="A68" s="14"/>
      <c r="B68" s="1" t="s">
        <v>25</v>
      </c>
      <c r="C68" s="23">
        <f>SUM(C61:C67)</f>
        <v>478784817</v>
      </c>
      <c r="D68" s="16">
        <f>SUM(D61:D67)</f>
        <v>0</v>
      </c>
      <c r="E68" s="25">
        <f t="shared" si="5"/>
        <v>478784817</v>
      </c>
    </row>
    <row r="69" spans="1:7" ht="15.6" hidden="1" x14ac:dyDescent="0.3">
      <c r="A69" s="14"/>
      <c r="B69" s="2"/>
      <c r="C69" s="13"/>
      <c r="D69" s="13"/>
      <c r="E69" s="17">
        <f t="shared" si="5"/>
        <v>0</v>
      </c>
    </row>
    <row r="70" spans="1:7" ht="15.6" hidden="1" x14ac:dyDescent="0.3">
      <c r="A70" s="14"/>
      <c r="B70" s="1" t="s">
        <v>26</v>
      </c>
      <c r="C70" s="15"/>
      <c r="D70" s="13"/>
      <c r="E70" s="17">
        <f t="shared" si="5"/>
        <v>0</v>
      </c>
    </row>
    <row r="71" spans="1:7" ht="15.6" hidden="1" x14ac:dyDescent="0.3">
      <c r="A71" s="13"/>
      <c r="B71" s="3" t="s">
        <v>27</v>
      </c>
      <c r="C71" s="15">
        <v>24995000</v>
      </c>
      <c r="D71" s="16">
        <v>0</v>
      </c>
      <c r="E71" s="17">
        <f t="shared" si="5"/>
        <v>24995000</v>
      </c>
    </row>
    <row r="72" spans="1:7" ht="15.6" hidden="1" x14ac:dyDescent="0.3">
      <c r="A72" s="13"/>
      <c r="B72" s="3" t="s">
        <v>28</v>
      </c>
      <c r="C72" s="15">
        <v>111470000</v>
      </c>
      <c r="D72" s="16">
        <v>0</v>
      </c>
      <c r="E72" s="17">
        <f t="shared" si="5"/>
        <v>111470000</v>
      </c>
    </row>
    <row r="73" spans="1:7" ht="15.6" hidden="1" x14ac:dyDescent="0.3">
      <c r="A73" s="14"/>
      <c r="B73" s="3" t="s">
        <v>29</v>
      </c>
      <c r="C73" s="15">
        <v>132057500</v>
      </c>
      <c r="D73" s="16">
        <v>0</v>
      </c>
      <c r="E73" s="17">
        <f t="shared" si="5"/>
        <v>132057500</v>
      </c>
    </row>
    <row r="74" spans="1:7" ht="15.6" hidden="1" x14ac:dyDescent="0.3">
      <c r="A74" s="14"/>
      <c r="B74" s="3" t="s">
        <v>30</v>
      </c>
      <c r="C74" s="15">
        <v>115851750</v>
      </c>
      <c r="D74" s="16">
        <v>0</v>
      </c>
      <c r="E74" s="17">
        <f t="shared" si="5"/>
        <v>115851750</v>
      </c>
    </row>
    <row r="75" spans="1:7" ht="15.6" hidden="1" x14ac:dyDescent="0.3">
      <c r="A75" s="14"/>
      <c r="B75" s="3" t="s">
        <v>31</v>
      </c>
      <c r="C75" s="20">
        <v>0</v>
      </c>
      <c r="D75" s="21">
        <v>18906175</v>
      </c>
      <c r="E75" s="17">
        <f t="shared" si="5"/>
        <v>18906175</v>
      </c>
    </row>
    <row r="76" spans="1:7" ht="15.6" hidden="1" x14ac:dyDescent="0.3">
      <c r="A76" s="14"/>
      <c r="B76" s="3" t="s">
        <v>32</v>
      </c>
      <c r="C76" s="15">
        <v>6022143</v>
      </c>
      <c r="D76" s="21">
        <v>760198</v>
      </c>
      <c r="E76" s="17">
        <f t="shared" si="5"/>
        <v>6782341</v>
      </c>
      <c r="G76" s="66"/>
    </row>
    <row r="77" spans="1:7" ht="15.6" hidden="1" x14ac:dyDescent="0.3">
      <c r="A77" s="14"/>
      <c r="B77" s="3" t="s">
        <v>33</v>
      </c>
      <c r="C77" s="15">
        <f>'RUGI LABA'!C78</f>
        <v>18575435</v>
      </c>
      <c r="D77" s="26">
        <v>1261935</v>
      </c>
      <c r="E77" s="17">
        <f t="shared" si="5"/>
        <v>19837370</v>
      </c>
    </row>
    <row r="78" spans="1:7" ht="15.6" hidden="1" x14ac:dyDescent="0.3">
      <c r="A78" s="14"/>
      <c r="B78" s="1" t="s">
        <v>34</v>
      </c>
      <c r="C78" s="23">
        <f>SUM(C71:C77)</f>
        <v>408971828</v>
      </c>
      <c r="D78" s="24">
        <f>SUM(D71:D77)</f>
        <v>20928308</v>
      </c>
      <c r="E78" s="25">
        <f t="shared" si="5"/>
        <v>429900136</v>
      </c>
    </row>
    <row r="79" spans="1:7" ht="15.6" hidden="1" x14ac:dyDescent="0.3">
      <c r="A79" s="13"/>
      <c r="B79" s="2"/>
      <c r="C79" s="13"/>
      <c r="D79" s="13"/>
      <c r="E79" s="17">
        <f t="shared" si="5"/>
        <v>0</v>
      </c>
    </row>
    <row r="80" spans="1:7" ht="15.6" hidden="1" x14ac:dyDescent="0.3">
      <c r="A80" s="27"/>
      <c r="B80" s="28" t="s">
        <v>35</v>
      </c>
      <c r="C80" s="29">
        <f>C68+C78</f>
        <v>887756645</v>
      </c>
      <c r="D80" s="30">
        <f>D68+D78</f>
        <v>20928308</v>
      </c>
      <c r="E80" s="29">
        <f t="shared" si="5"/>
        <v>908684953</v>
      </c>
    </row>
    <row r="81" spans="1:5" hidden="1" x14ac:dyDescent="0.3"/>
    <row r="82" spans="1:5" hidden="1" x14ac:dyDescent="0.3"/>
    <row r="83" spans="1:5" hidden="1" x14ac:dyDescent="0.3">
      <c r="C83" s="66"/>
    </row>
    <row r="84" spans="1:5" ht="15.6" hidden="1" x14ac:dyDescent="0.3">
      <c r="A84" s="1" t="s">
        <v>0</v>
      </c>
      <c r="B84" s="2"/>
      <c r="C84" s="3"/>
    </row>
    <row r="85" spans="1:5" ht="15.6" hidden="1" x14ac:dyDescent="0.3">
      <c r="A85" s="1" t="s">
        <v>74</v>
      </c>
      <c r="B85" s="2"/>
      <c r="C85" s="3"/>
    </row>
    <row r="86" spans="1:5" ht="15.6" hidden="1" x14ac:dyDescent="0.3">
      <c r="A86" s="1"/>
      <c r="B86" s="3"/>
      <c r="C86" s="3"/>
    </row>
    <row r="87" spans="1:5" ht="15.6" hidden="1" x14ac:dyDescent="0.3">
      <c r="A87" s="4"/>
      <c r="B87" s="5" t="s">
        <v>1</v>
      </c>
      <c r="C87" s="6" t="s">
        <v>2</v>
      </c>
      <c r="D87" s="7" t="s">
        <v>3</v>
      </c>
      <c r="E87" s="7" t="s">
        <v>4</v>
      </c>
    </row>
    <row r="88" spans="1:5" ht="15.6" hidden="1" x14ac:dyDescent="0.3">
      <c r="A88" s="8"/>
      <c r="B88" s="9"/>
      <c r="C88" s="10" t="s">
        <v>75</v>
      </c>
      <c r="D88" s="10" t="s">
        <v>75</v>
      </c>
      <c r="E88" s="10" t="s">
        <v>75</v>
      </c>
    </row>
    <row r="89" spans="1:5" ht="15.6" hidden="1" x14ac:dyDescent="0.3">
      <c r="A89" s="4"/>
      <c r="B89" s="11" t="s">
        <v>5</v>
      </c>
      <c r="C89" s="12"/>
      <c r="D89" s="13"/>
      <c r="E89" s="12"/>
    </row>
    <row r="90" spans="1:5" ht="15.6" hidden="1" x14ac:dyDescent="0.3">
      <c r="A90" s="14"/>
      <c r="B90" s="3" t="s">
        <v>6</v>
      </c>
      <c r="C90" s="15">
        <v>69016307</v>
      </c>
      <c r="D90" s="16">
        <v>17637299</v>
      </c>
      <c r="E90" s="17">
        <f>SUM(C90:D90)</f>
        <v>86653606</v>
      </c>
    </row>
    <row r="91" spans="1:5" ht="15.6" hidden="1" x14ac:dyDescent="0.3">
      <c r="A91" s="14"/>
      <c r="B91" s="18" t="s">
        <v>7</v>
      </c>
      <c r="C91" s="15">
        <v>402301005</v>
      </c>
      <c r="D91" s="16">
        <v>0</v>
      </c>
      <c r="E91" s="17">
        <f t="shared" ref="E91:E93" si="6">SUM(C91:D91)</f>
        <v>402301005</v>
      </c>
    </row>
    <row r="92" spans="1:5" ht="15.6" hidden="1" x14ac:dyDescent="0.3">
      <c r="A92" s="14"/>
      <c r="B92" s="3" t="s">
        <v>8</v>
      </c>
      <c r="C92" s="15">
        <v>100000000</v>
      </c>
      <c r="D92" s="16">
        <v>0</v>
      </c>
      <c r="E92" s="17">
        <f t="shared" si="6"/>
        <v>100000000</v>
      </c>
    </row>
    <row r="93" spans="1:5" ht="15.6" hidden="1" x14ac:dyDescent="0.3">
      <c r="A93" s="14"/>
      <c r="B93" s="3" t="s">
        <v>9</v>
      </c>
      <c r="C93" s="15">
        <v>397150000</v>
      </c>
      <c r="D93" s="16">
        <v>0</v>
      </c>
      <c r="E93" s="17">
        <f t="shared" si="6"/>
        <v>397150000</v>
      </c>
    </row>
    <row r="94" spans="1:5" ht="15.6" hidden="1" x14ac:dyDescent="0.3">
      <c r="A94" s="14"/>
      <c r="B94" s="3" t="s">
        <v>10</v>
      </c>
      <c r="C94" s="19">
        <v>-334000</v>
      </c>
      <c r="D94" s="16">
        <v>0</v>
      </c>
      <c r="E94" s="19">
        <v>-334000</v>
      </c>
    </row>
    <row r="95" spans="1:5" ht="15.6" hidden="1" x14ac:dyDescent="0.3">
      <c r="A95" s="14"/>
      <c r="B95" s="3" t="s">
        <v>11</v>
      </c>
      <c r="C95" s="20">
        <v>0</v>
      </c>
      <c r="D95" s="21">
        <v>4837988</v>
      </c>
      <c r="E95" s="17">
        <f t="shared" ref="E95:E97" si="7">SUM(C95:D95)</f>
        <v>4837988</v>
      </c>
    </row>
    <row r="96" spans="1:5" ht="15.6" hidden="1" x14ac:dyDescent="0.3">
      <c r="A96" s="14"/>
      <c r="B96" s="3" t="s">
        <v>12</v>
      </c>
      <c r="C96" s="20">
        <v>1853076</v>
      </c>
      <c r="D96" s="16">
        <v>0</v>
      </c>
      <c r="E96" s="17">
        <f t="shared" si="7"/>
        <v>1853076</v>
      </c>
    </row>
    <row r="97" spans="1:5" ht="15.6" hidden="1" x14ac:dyDescent="0.3">
      <c r="A97" s="14"/>
      <c r="B97" s="3" t="s">
        <v>13</v>
      </c>
      <c r="C97" s="15">
        <v>28388200</v>
      </c>
      <c r="D97" s="16">
        <v>0</v>
      </c>
      <c r="E97" s="17">
        <f t="shared" si="7"/>
        <v>28388200</v>
      </c>
    </row>
    <row r="98" spans="1:5" ht="15.6" hidden="1" x14ac:dyDescent="0.3">
      <c r="A98" s="14"/>
      <c r="B98" s="3" t="s">
        <v>14</v>
      </c>
      <c r="C98" s="19">
        <v>-24281467</v>
      </c>
      <c r="D98" s="16">
        <v>0</v>
      </c>
      <c r="E98" s="48">
        <v>-24281467</v>
      </c>
    </row>
    <row r="99" spans="1:5" ht="15.6" hidden="1" x14ac:dyDescent="0.3">
      <c r="A99" s="14"/>
      <c r="B99" s="22" t="s">
        <v>15</v>
      </c>
      <c r="C99" s="23">
        <f>SUM(C90:C98)</f>
        <v>974093121</v>
      </c>
      <c r="D99" s="24">
        <f>SUM(D90:D98)</f>
        <v>22475287</v>
      </c>
      <c r="E99" s="25">
        <f t="shared" ref="E99:E122" si="8">SUM(C99:D99)</f>
        <v>996568408</v>
      </c>
    </row>
    <row r="100" spans="1:5" ht="15.6" hidden="1" x14ac:dyDescent="0.3">
      <c r="A100" s="14"/>
      <c r="B100" s="2"/>
      <c r="C100" s="13"/>
      <c r="D100" s="13"/>
      <c r="E100" s="17">
        <f t="shared" si="8"/>
        <v>0</v>
      </c>
    </row>
    <row r="101" spans="1:5" ht="15.6" hidden="1" x14ac:dyDescent="0.3">
      <c r="A101" s="14"/>
      <c r="B101" s="22" t="s">
        <v>16</v>
      </c>
      <c r="C101" s="15"/>
      <c r="D101" s="13"/>
      <c r="E101" s="17">
        <f t="shared" si="8"/>
        <v>0</v>
      </c>
    </row>
    <row r="102" spans="1:5" ht="15.6" hidden="1" x14ac:dyDescent="0.3">
      <c r="A102" s="14"/>
      <c r="B102" s="22" t="s">
        <v>17</v>
      </c>
      <c r="C102" s="15"/>
      <c r="D102" s="13"/>
      <c r="E102" s="17">
        <f t="shared" si="8"/>
        <v>0</v>
      </c>
    </row>
    <row r="103" spans="1:5" ht="15.6" hidden="1" x14ac:dyDescent="0.3">
      <c r="A103" s="14"/>
      <c r="B103" s="3" t="s">
        <v>18</v>
      </c>
      <c r="C103" s="15">
        <v>0</v>
      </c>
      <c r="D103" s="16">
        <v>0</v>
      </c>
      <c r="E103" s="17">
        <f t="shared" si="8"/>
        <v>0</v>
      </c>
    </row>
    <row r="104" spans="1:5" ht="15.6" hidden="1" x14ac:dyDescent="0.3">
      <c r="A104" s="14"/>
      <c r="B104" s="3" t="s">
        <v>19</v>
      </c>
      <c r="C104" s="15">
        <v>374243697</v>
      </c>
      <c r="D104" s="16">
        <v>0</v>
      </c>
      <c r="E104" s="17">
        <f t="shared" si="8"/>
        <v>374243697</v>
      </c>
    </row>
    <row r="105" spans="1:5" ht="15.6" hidden="1" x14ac:dyDescent="0.3">
      <c r="A105" s="14"/>
      <c r="B105" s="3" t="s">
        <v>20</v>
      </c>
      <c r="C105" s="15">
        <v>64025000</v>
      </c>
      <c r="D105" s="16">
        <v>0</v>
      </c>
      <c r="E105" s="17">
        <f t="shared" si="8"/>
        <v>64025000</v>
      </c>
    </row>
    <row r="106" spans="1:5" ht="15.6" hidden="1" x14ac:dyDescent="0.3">
      <c r="A106" s="13"/>
      <c r="B106" s="2" t="s">
        <v>21</v>
      </c>
      <c r="C106" s="20">
        <v>0</v>
      </c>
      <c r="D106" s="16">
        <v>0</v>
      </c>
      <c r="E106" s="17">
        <f t="shared" si="8"/>
        <v>0</v>
      </c>
    </row>
    <row r="107" spans="1:5" ht="15.6" hidden="1" x14ac:dyDescent="0.3">
      <c r="A107" s="13"/>
      <c r="B107" s="3" t="s">
        <v>22</v>
      </c>
      <c r="C107" s="15">
        <v>0</v>
      </c>
      <c r="D107" s="16">
        <v>0</v>
      </c>
      <c r="E107" s="17">
        <f t="shared" si="8"/>
        <v>0</v>
      </c>
    </row>
    <row r="108" spans="1:5" ht="15.6" hidden="1" x14ac:dyDescent="0.3">
      <c r="A108" s="13"/>
      <c r="B108" s="3" t="s">
        <v>23</v>
      </c>
      <c r="C108" s="15">
        <v>23170310</v>
      </c>
      <c r="D108" s="16">
        <v>0</v>
      </c>
      <c r="E108" s="17">
        <f t="shared" si="8"/>
        <v>23170310</v>
      </c>
    </row>
    <row r="109" spans="1:5" ht="15.6" hidden="1" x14ac:dyDescent="0.3">
      <c r="A109" s="14"/>
      <c r="B109" s="3" t="s">
        <v>24</v>
      </c>
      <c r="C109" s="15">
        <v>23170310</v>
      </c>
      <c r="D109" s="16">
        <v>0</v>
      </c>
      <c r="E109" s="17">
        <f t="shared" si="8"/>
        <v>23170310</v>
      </c>
    </row>
    <row r="110" spans="1:5" ht="15.6" hidden="1" x14ac:dyDescent="0.3">
      <c r="A110" s="14"/>
      <c r="B110" s="1" t="s">
        <v>25</v>
      </c>
      <c r="C110" s="23">
        <f>SUM(C103:C109)</f>
        <v>484609317</v>
      </c>
      <c r="D110" s="16">
        <f>SUM(D103:D109)</f>
        <v>0</v>
      </c>
      <c r="E110" s="25">
        <f t="shared" si="8"/>
        <v>484609317</v>
      </c>
    </row>
    <row r="111" spans="1:5" ht="15.6" hidden="1" x14ac:dyDescent="0.3">
      <c r="A111" s="14"/>
      <c r="B111" s="2"/>
      <c r="C111" s="13"/>
      <c r="D111" s="13"/>
      <c r="E111" s="17">
        <f t="shared" si="8"/>
        <v>0</v>
      </c>
    </row>
    <row r="112" spans="1:5" ht="15.6" hidden="1" x14ac:dyDescent="0.3">
      <c r="A112" s="14"/>
      <c r="B112" s="1" t="s">
        <v>26</v>
      </c>
      <c r="C112" s="15"/>
      <c r="D112" s="13"/>
      <c r="E112" s="17">
        <f t="shared" si="8"/>
        <v>0</v>
      </c>
    </row>
    <row r="113" spans="1:5" ht="15.6" hidden="1" x14ac:dyDescent="0.3">
      <c r="A113" s="13"/>
      <c r="B113" s="3" t="s">
        <v>27</v>
      </c>
      <c r="C113" s="15">
        <v>24995000</v>
      </c>
      <c r="D113" s="16">
        <v>0</v>
      </c>
      <c r="E113" s="17">
        <f t="shared" si="8"/>
        <v>24995000</v>
      </c>
    </row>
    <row r="114" spans="1:5" ht="15.6" hidden="1" x14ac:dyDescent="0.3">
      <c r="A114" s="13"/>
      <c r="B114" s="3" t="s">
        <v>28</v>
      </c>
      <c r="C114" s="15">
        <v>113220000</v>
      </c>
      <c r="D114" s="16">
        <v>0</v>
      </c>
      <c r="E114" s="17">
        <f t="shared" si="8"/>
        <v>113220000</v>
      </c>
    </row>
    <row r="115" spans="1:5" ht="15.6" hidden="1" x14ac:dyDescent="0.3">
      <c r="A115" s="14"/>
      <c r="B115" s="3" t="s">
        <v>29</v>
      </c>
      <c r="C115" s="15">
        <v>194057500</v>
      </c>
      <c r="D115" s="16">
        <v>0</v>
      </c>
      <c r="E115" s="17">
        <f t="shared" si="8"/>
        <v>194057500</v>
      </c>
    </row>
    <row r="116" spans="1:5" ht="15.6" hidden="1" x14ac:dyDescent="0.3">
      <c r="A116" s="14"/>
      <c r="B116" s="3" t="s">
        <v>30</v>
      </c>
      <c r="C116" s="15">
        <v>115851750</v>
      </c>
      <c r="D116" s="16">
        <v>0</v>
      </c>
      <c r="E116" s="17">
        <f t="shared" si="8"/>
        <v>115851750</v>
      </c>
    </row>
    <row r="117" spans="1:5" ht="15.6" hidden="1" x14ac:dyDescent="0.3">
      <c r="A117" s="14"/>
      <c r="B117" s="3" t="s">
        <v>31</v>
      </c>
      <c r="C117" s="20">
        <v>0</v>
      </c>
      <c r="D117" s="21">
        <v>18906175</v>
      </c>
      <c r="E117" s="17">
        <f t="shared" si="8"/>
        <v>18906175</v>
      </c>
    </row>
    <row r="118" spans="1:5" ht="15.6" hidden="1" x14ac:dyDescent="0.3">
      <c r="A118" s="14"/>
      <c r="B118" s="3" t="s">
        <v>32</v>
      </c>
      <c r="C118" s="15">
        <v>24597578</v>
      </c>
      <c r="D118" s="21">
        <v>2022133</v>
      </c>
      <c r="E118" s="17">
        <f t="shared" si="8"/>
        <v>26619711</v>
      </c>
    </row>
    <row r="119" spans="1:5" ht="15.6" hidden="1" x14ac:dyDescent="0.3">
      <c r="A119" s="14"/>
      <c r="B119" s="3" t="s">
        <v>33</v>
      </c>
      <c r="C119" s="15">
        <v>16761976</v>
      </c>
      <c r="D119" s="26">
        <v>1546979</v>
      </c>
      <c r="E119" s="17">
        <f t="shared" si="8"/>
        <v>18308955</v>
      </c>
    </row>
    <row r="120" spans="1:5" ht="15.6" hidden="1" x14ac:dyDescent="0.3">
      <c r="A120" s="14"/>
      <c r="B120" s="1" t="s">
        <v>34</v>
      </c>
      <c r="C120" s="23">
        <f>SUM(C113:C119)</f>
        <v>489483804</v>
      </c>
      <c r="D120" s="24">
        <f>SUM(D113:D119)</f>
        <v>22475287</v>
      </c>
      <c r="E120" s="25">
        <f t="shared" si="8"/>
        <v>511959091</v>
      </c>
    </row>
    <row r="121" spans="1:5" ht="15.6" hidden="1" x14ac:dyDescent="0.3">
      <c r="A121" s="13"/>
      <c r="B121" s="2"/>
      <c r="C121" s="13"/>
      <c r="D121" s="13"/>
      <c r="E121" s="17"/>
    </row>
    <row r="122" spans="1:5" ht="15.6" hidden="1" x14ac:dyDescent="0.3">
      <c r="A122" s="27"/>
      <c r="B122" s="28" t="s">
        <v>35</v>
      </c>
      <c r="C122" s="29">
        <f>C110+C120</f>
        <v>974093121</v>
      </c>
      <c r="D122" s="30">
        <f>D110+D120</f>
        <v>22475287</v>
      </c>
      <c r="E122" s="29">
        <f t="shared" si="8"/>
        <v>996568408</v>
      </c>
    </row>
    <row r="123" spans="1:5" hidden="1" x14ac:dyDescent="0.3"/>
    <row r="124" spans="1:5" hidden="1" x14ac:dyDescent="0.3"/>
    <row r="125" spans="1:5" ht="15.6" hidden="1" x14ac:dyDescent="0.3">
      <c r="A125" s="1" t="s">
        <v>0</v>
      </c>
      <c r="B125" s="2"/>
      <c r="C125" s="3"/>
    </row>
    <row r="126" spans="1:5" ht="15.6" hidden="1" x14ac:dyDescent="0.3">
      <c r="A126" s="1" t="s">
        <v>77</v>
      </c>
      <c r="B126" s="2"/>
      <c r="C126" s="3"/>
    </row>
    <row r="127" spans="1:5" ht="15.6" hidden="1" x14ac:dyDescent="0.3">
      <c r="A127" s="1"/>
      <c r="B127" s="3"/>
      <c r="C127" s="3"/>
    </row>
    <row r="128" spans="1:5" ht="15.6" hidden="1" x14ac:dyDescent="0.3">
      <c r="A128" s="4"/>
      <c r="B128" s="5" t="s">
        <v>1</v>
      </c>
      <c r="C128" s="6" t="s">
        <v>2</v>
      </c>
      <c r="D128" s="7" t="s">
        <v>3</v>
      </c>
      <c r="E128" s="7" t="s">
        <v>4</v>
      </c>
    </row>
    <row r="129" spans="1:5" ht="15.6" hidden="1" x14ac:dyDescent="0.3">
      <c r="A129" s="8"/>
      <c r="B129" s="9"/>
      <c r="C129" s="10" t="s">
        <v>78</v>
      </c>
      <c r="D129" s="10" t="s">
        <v>78</v>
      </c>
      <c r="E129" s="10" t="s">
        <v>78</v>
      </c>
    </row>
    <row r="130" spans="1:5" ht="15.6" hidden="1" x14ac:dyDescent="0.3">
      <c r="A130" s="4"/>
      <c r="B130" s="11" t="s">
        <v>5</v>
      </c>
      <c r="C130" s="12"/>
      <c r="D130" s="13"/>
      <c r="E130" s="12"/>
    </row>
    <row r="131" spans="1:5" ht="15.6" hidden="1" x14ac:dyDescent="0.3">
      <c r="A131" s="14"/>
      <c r="B131" s="3" t="s">
        <v>6</v>
      </c>
      <c r="C131" s="15">
        <v>76911167</v>
      </c>
      <c r="D131" s="16">
        <v>20114500</v>
      </c>
      <c r="E131" s="17">
        <f>SUM(C131:D131)</f>
        <v>97025667</v>
      </c>
    </row>
    <row r="132" spans="1:5" ht="15.6" hidden="1" x14ac:dyDescent="0.3">
      <c r="A132" s="14"/>
      <c r="B132" s="18" t="s">
        <v>7</v>
      </c>
      <c r="C132" s="15">
        <v>388785987</v>
      </c>
      <c r="D132" s="16"/>
      <c r="E132" s="17">
        <f t="shared" ref="E132:E134" si="9">SUM(C132:D132)</f>
        <v>388785987</v>
      </c>
    </row>
    <row r="133" spans="1:5" ht="15.6" hidden="1" x14ac:dyDescent="0.3">
      <c r="A133" s="14"/>
      <c r="B133" s="3" t="s">
        <v>8</v>
      </c>
      <c r="C133" s="15">
        <v>100000000</v>
      </c>
      <c r="D133" s="16"/>
      <c r="E133" s="17">
        <f t="shared" si="9"/>
        <v>100000000</v>
      </c>
    </row>
    <row r="134" spans="1:5" ht="15.6" hidden="1" x14ac:dyDescent="0.3">
      <c r="A134" s="14"/>
      <c r="B134" s="3" t="s">
        <v>9</v>
      </c>
      <c r="C134" s="15">
        <v>433900000</v>
      </c>
      <c r="D134" s="16"/>
      <c r="E134" s="17">
        <f t="shared" si="9"/>
        <v>433900000</v>
      </c>
    </row>
    <row r="135" spans="1:5" ht="15.6" hidden="1" x14ac:dyDescent="0.3">
      <c r="A135" s="14"/>
      <c r="B135" s="3" t="s">
        <v>10</v>
      </c>
      <c r="C135" s="19">
        <v>-334000</v>
      </c>
      <c r="D135" s="16"/>
      <c r="E135" s="19">
        <v>0</v>
      </c>
    </row>
    <row r="136" spans="1:5" ht="15.6" hidden="1" x14ac:dyDescent="0.3">
      <c r="A136" s="14"/>
      <c r="B136" s="3" t="s">
        <v>11</v>
      </c>
      <c r="C136" s="20">
        <v>0</v>
      </c>
      <c r="D136" s="21">
        <v>5011836</v>
      </c>
      <c r="E136" s="17">
        <f t="shared" ref="E136:E139" si="10">SUM(C136:D136)</f>
        <v>5011836</v>
      </c>
    </row>
    <row r="137" spans="1:5" ht="15.6" hidden="1" x14ac:dyDescent="0.3">
      <c r="A137" s="14"/>
      <c r="B137" s="3" t="s">
        <v>12</v>
      </c>
      <c r="C137" s="20">
        <v>2478516</v>
      </c>
      <c r="D137" s="16"/>
      <c r="E137" s="17">
        <f t="shared" si="10"/>
        <v>2478516</v>
      </c>
    </row>
    <row r="138" spans="1:5" ht="15.6" hidden="1" x14ac:dyDescent="0.3">
      <c r="A138" s="14"/>
      <c r="B138" s="3" t="s">
        <v>13</v>
      </c>
      <c r="C138" s="15">
        <v>28388200</v>
      </c>
      <c r="D138" s="16"/>
      <c r="E138" s="17">
        <f t="shared" si="10"/>
        <v>28388200</v>
      </c>
    </row>
    <row r="139" spans="1:5" ht="15.6" hidden="1" x14ac:dyDescent="0.3">
      <c r="A139" s="14"/>
      <c r="B139" s="3" t="s">
        <v>14</v>
      </c>
      <c r="C139" s="19">
        <v>-24839355</v>
      </c>
      <c r="D139" s="16"/>
      <c r="E139" s="17">
        <f t="shared" si="10"/>
        <v>-24839355</v>
      </c>
    </row>
    <row r="140" spans="1:5" ht="15.6" hidden="1" x14ac:dyDescent="0.3">
      <c r="A140" s="14"/>
      <c r="B140" s="22" t="s">
        <v>15</v>
      </c>
      <c r="C140" s="23">
        <f>SUM(C131:C139)</f>
        <v>1005290515</v>
      </c>
      <c r="D140" s="24">
        <f>SUM(D131:D139)</f>
        <v>25126336</v>
      </c>
      <c r="E140" s="25">
        <f t="shared" ref="E140:E163" si="11">SUM(C140:D140)</f>
        <v>1030416851</v>
      </c>
    </row>
    <row r="141" spans="1:5" ht="15.6" hidden="1" x14ac:dyDescent="0.3">
      <c r="A141" s="14"/>
      <c r="B141" s="2"/>
      <c r="C141" s="13"/>
      <c r="D141" s="13"/>
      <c r="E141" s="17">
        <f t="shared" si="11"/>
        <v>0</v>
      </c>
    </row>
    <row r="142" spans="1:5" ht="15.6" hidden="1" x14ac:dyDescent="0.3">
      <c r="A142" s="14"/>
      <c r="B142" s="22" t="s">
        <v>16</v>
      </c>
      <c r="C142" s="15"/>
      <c r="D142" s="13"/>
      <c r="E142" s="17">
        <f t="shared" si="11"/>
        <v>0</v>
      </c>
    </row>
    <row r="143" spans="1:5" ht="15.6" hidden="1" x14ac:dyDescent="0.3">
      <c r="A143" s="14"/>
      <c r="B143" s="22" t="s">
        <v>17</v>
      </c>
      <c r="C143" s="15"/>
      <c r="D143" s="13"/>
      <c r="E143" s="17">
        <f t="shared" si="11"/>
        <v>0</v>
      </c>
    </row>
    <row r="144" spans="1:5" ht="15.6" hidden="1" x14ac:dyDescent="0.3">
      <c r="A144" s="14"/>
      <c r="B144" s="3" t="s">
        <v>18</v>
      </c>
      <c r="C144" s="15">
        <v>0</v>
      </c>
      <c r="D144" s="16">
        <v>0</v>
      </c>
      <c r="E144" s="17">
        <f t="shared" si="11"/>
        <v>0</v>
      </c>
    </row>
    <row r="145" spans="1:5" ht="15.6" hidden="1" x14ac:dyDescent="0.3">
      <c r="A145" s="14"/>
      <c r="B145" s="3" t="s">
        <v>19</v>
      </c>
      <c r="C145" s="15">
        <v>395350997</v>
      </c>
      <c r="D145" s="16">
        <v>0</v>
      </c>
      <c r="E145" s="17">
        <f t="shared" si="11"/>
        <v>395350997</v>
      </c>
    </row>
    <row r="146" spans="1:5" ht="15.6" hidden="1" x14ac:dyDescent="0.3">
      <c r="A146" s="14"/>
      <c r="B146" s="3" t="s">
        <v>20</v>
      </c>
      <c r="C146" s="15">
        <v>68625000</v>
      </c>
      <c r="D146" s="16">
        <v>0</v>
      </c>
      <c r="E146" s="17">
        <f t="shared" si="11"/>
        <v>68625000</v>
      </c>
    </row>
    <row r="147" spans="1:5" ht="15.6" hidden="1" x14ac:dyDescent="0.3">
      <c r="A147" s="13"/>
      <c r="B147" s="2" t="s">
        <v>21</v>
      </c>
      <c r="C147" s="20"/>
      <c r="D147" s="16">
        <v>0</v>
      </c>
      <c r="E147" s="17">
        <f t="shared" si="11"/>
        <v>0</v>
      </c>
    </row>
    <row r="148" spans="1:5" ht="15.6" hidden="1" x14ac:dyDescent="0.3">
      <c r="A148" s="13"/>
      <c r="B148" s="3" t="s">
        <v>22</v>
      </c>
      <c r="C148" s="15"/>
      <c r="D148" s="16">
        <v>0</v>
      </c>
      <c r="E148" s="17">
        <f t="shared" si="11"/>
        <v>0</v>
      </c>
    </row>
    <row r="149" spans="1:5" ht="15.6" hidden="1" x14ac:dyDescent="0.3">
      <c r="A149" s="13"/>
      <c r="B149" s="3" t="s">
        <v>23</v>
      </c>
      <c r="C149" s="15">
        <v>23170310</v>
      </c>
      <c r="D149" s="16">
        <v>0</v>
      </c>
      <c r="E149" s="17">
        <f t="shared" si="11"/>
        <v>23170310</v>
      </c>
    </row>
    <row r="150" spans="1:5" ht="15.6" hidden="1" x14ac:dyDescent="0.3">
      <c r="A150" s="14"/>
      <c r="B150" s="3" t="s">
        <v>24</v>
      </c>
      <c r="C150" s="15">
        <v>23170310</v>
      </c>
      <c r="D150" s="16">
        <v>0</v>
      </c>
      <c r="E150" s="17">
        <f t="shared" si="11"/>
        <v>23170310</v>
      </c>
    </row>
    <row r="151" spans="1:5" ht="15.6" hidden="1" x14ac:dyDescent="0.3">
      <c r="A151" s="14"/>
      <c r="B151" s="1" t="s">
        <v>25</v>
      </c>
      <c r="C151" s="23">
        <f>SUM(C144:C150)</f>
        <v>510316617</v>
      </c>
      <c r="D151" s="16">
        <f>SUM(D144:D150)</f>
        <v>0</v>
      </c>
      <c r="E151" s="25">
        <f t="shared" si="11"/>
        <v>510316617</v>
      </c>
    </row>
    <row r="152" spans="1:5" ht="15.6" hidden="1" x14ac:dyDescent="0.3">
      <c r="A152" s="14"/>
      <c r="B152" s="2"/>
      <c r="C152" s="13"/>
      <c r="D152" s="13"/>
      <c r="E152" s="17">
        <f t="shared" si="11"/>
        <v>0</v>
      </c>
    </row>
    <row r="153" spans="1:5" ht="15.6" hidden="1" x14ac:dyDescent="0.3">
      <c r="A153" s="14"/>
      <c r="B153" s="1" t="s">
        <v>26</v>
      </c>
      <c r="C153" s="15"/>
      <c r="D153" s="13"/>
      <c r="E153" s="17">
        <f t="shared" si="11"/>
        <v>0</v>
      </c>
    </row>
    <row r="154" spans="1:5" ht="15.6" hidden="1" x14ac:dyDescent="0.3">
      <c r="A154" s="13"/>
      <c r="B154" s="3" t="s">
        <v>27</v>
      </c>
      <c r="C154" s="15">
        <v>25400000</v>
      </c>
      <c r="D154" s="16"/>
      <c r="E154" s="17">
        <f t="shared" si="11"/>
        <v>25400000</v>
      </c>
    </row>
    <row r="155" spans="1:5" ht="15.6" hidden="1" x14ac:dyDescent="0.3">
      <c r="A155" s="13"/>
      <c r="B155" s="3" t="s">
        <v>28</v>
      </c>
      <c r="C155" s="15">
        <v>115440000</v>
      </c>
      <c r="D155" s="16"/>
      <c r="E155" s="17">
        <f t="shared" si="11"/>
        <v>115440000</v>
      </c>
    </row>
    <row r="156" spans="1:5" ht="15.6" hidden="1" x14ac:dyDescent="0.3">
      <c r="A156" s="14"/>
      <c r="B156" s="3" t="s">
        <v>29</v>
      </c>
      <c r="C156" s="15">
        <v>178998500</v>
      </c>
      <c r="D156" s="16"/>
      <c r="E156" s="17">
        <f t="shared" si="11"/>
        <v>178998500</v>
      </c>
    </row>
    <row r="157" spans="1:5" ht="15.6" hidden="1" x14ac:dyDescent="0.3">
      <c r="A157" s="14"/>
      <c r="B157" s="3" t="s">
        <v>30</v>
      </c>
      <c r="C157" s="15">
        <v>115851750</v>
      </c>
      <c r="D157" s="16"/>
      <c r="E157" s="17">
        <f t="shared" si="11"/>
        <v>115851750</v>
      </c>
    </row>
    <row r="158" spans="1:5" ht="15.6" hidden="1" x14ac:dyDescent="0.3">
      <c r="A158" s="14"/>
      <c r="B158" s="3" t="s">
        <v>31</v>
      </c>
      <c r="C158" s="20">
        <v>0</v>
      </c>
      <c r="D158" s="21">
        <v>18906175</v>
      </c>
      <c r="E158" s="17">
        <f t="shared" si="11"/>
        <v>18906175</v>
      </c>
    </row>
    <row r="159" spans="1:5" ht="15.6" hidden="1" x14ac:dyDescent="0.3">
      <c r="A159" s="14"/>
      <c r="B159" s="3" t="s">
        <v>32</v>
      </c>
      <c r="C159" s="15">
        <v>41359554</v>
      </c>
      <c r="D159" s="21">
        <v>3569112</v>
      </c>
      <c r="E159" s="17">
        <f t="shared" si="11"/>
        <v>44928666</v>
      </c>
    </row>
    <row r="160" spans="1:5" ht="15.6" hidden="1" x14ac:dyDescent="0.3">
      <c r="A160" s="14"/>
      <c r="B160" s="3" t="s">
        <v>33</v>
      </c>
      <c r="C160" s="15">
        <v>17924094</v>
      </c>
      <c r="D160" s="26">
        <f>'RUGI LABA'!D153</f>
        <v>2651049</v>
      </c>
      <c r="E160" s="17">
        <f t="shared" si="11"/>
        <v>20575143</v>
      </c>
    </row>
    <row r="161" spans="1:5" ht="15.6" hidden="1" x14ac:dyDescent="0.3">
      <c r="A161" s="14"/>
      <c r="B161" s="1" t="s">
        <v>34</v>
      </c>
      <c r="C161" s="23">
        <f>SUM(C154:C160)</f>
        <v>494973898</v>
      </c>
      <c r="D161" s="24">
        <f>SUM(D154:D160)</f>
        <v>25126336</v>
      </c>
      <c r="E161" s="25">
        <f t="shared" si="11"/>
        <v>520100234</v>
      </c>
    </row>
    <row r="162" spans="1:5" ht="15.6" hidden="1" x14ac:dyDescent="0.3">
      <c r="A162" s="13"/>
      <c r="B162" s="2"/>
      <c r="C162" s="13"/>
      <c r="D162" s="13"/>
      <c r="E162" s="17">
        <f t="shared" si="11"/>
        <v>0</v>
      </c>
    </row>
    <row r="163" spans="1:5" ht="15.6" hidden="1" x14ac:dyDescent="0.3">
      <c r="A163" s="27"/>
      <c r="B163" s="28" t="s">
        <v>35</v>
      </c>
      <c r="C163" s="29">
        <f>C151+C161</f>
        <v>1005290515</v>
      </c>
      <c r="D163" s="30">
        <f>D151+D161</f>
        <v>25126336</v>
      </c>
      <c r="E163" s="29">
        <f t="shared" si="11"/>
        <v>1030416851</v>
      </c>
    </row>
    <row r="164" spans="1:5" hidden="1" x14ac:dyDescent="0.3"/>
    <row r="165" spans="1:5" hidden="1" x14ac:dyDescent="0.3"/>
    <row r="166" spans="1:5" hidden="1" x14ac:dyDescent="0.3"/>
    <row r="167" spans="1:5" ht="15.6" hidden="1" x14ac:dyDescent="0.3">
      <c r="A167" s="67" t="s">
        <v>0</v>
      </c>
      <c r="B167" s="68"/>
      <c r="C167" s="69"/>
      <c r="D167" s="70"/>
      <c r="E167" s="70"/>
    </row>
    <row r="168" spans="1:5" ht="15.6" hidden="1" x14ac:dyDescent="0.3">
      <c r="A168" s="67" t="s">
        <v>79</v>
      </c>
      <c r="B168" s="68"/>
      <c r="C168" s="69"/>
      <c r="D168" s="70"/>
      <c r="E168" s="70"/>
    </row>
    <row r="169" spans="1:5" ht="15.6" hidden="1" x14ac:dyDescent="0.3">
      <c r="A169" s="67"/>
      <c r="B169" s="69"/>
      <c r="C169" s="69"/>
      <c r="D169" s="70"/>
      <c r="E169" s="70"/>
    </row>
    <row r="170" spans="1:5" ht="15.6" hidden="1" x14ac:dyDescent="0.3">
      <c r="A170" s="71"/>
      <c r="B170" s="72" t="s">
        <v>1</v>
      </c>
      <c r="C170" s="73" t="s">
        <v>2</v>
      </c>
      <c r="D170" s="74" t="s">
        <v>3</v>
      </c>
      <c r="E170" s="74" t="s">
        <v>4</v>
      </c>
    </row>
    <row r="171" spans="1:5" ht="15.6" hidden="1" x14ac:dyDescent="0.3">
      <c r="A171" s="75"/>
      <c r="B171" s="76"/>
      <c r="C171" s="77" t="s">
        <v>78</v>
      </c>
      <c r="D171" s="77" t="s">
        <v>78</v>
      </c>
      <c r="E171" s="77" t="s">
        <v>78</v>
      </c>
    </row>
    <row r="172" spans="1:5" ht="15.6" hidden="1" x14ac:dyDescent="0.3">
      <c r="A172" s="71"/>
      <c r="B172" s="78" t="s">
        <v>5</v>
      </c>
      <c r="C172" s="79"/>
      <c r="D172" s="80"/>
      <c r="E172" s="79"/>
    </row>
    <row r="173" spans="1:5" ht="15.6" hidden="1" x14ac:dyDescent="0.3">
      <c r="A173" s="81"/>
      <c r="B173" s="69" t="s">
        <v>6</v>
      </c>
      <c r="C173" s="82"/>
      <c r="D173" s="50"/>
      <c r="E173" s="83">
        <f>SUM(C173:D173)</f>
        <v>0</v>
      </c>
    </row>
    <row r="174" spans="1:5" ht="15.6" hidden="1" x14ac:dyDescent="0.3">
      <c r="A174" s="81"/>
      <c r="B174" s="84" t="s">
        <v>7</v>
      </c>
      <c r="C174" s="82"/>
      <c r="D174" s="50"/>
      <c r="E174" s="83">
        <f t="shared" ref="E174:E181" si="12">SUM(C174:D174)</f>
        <v>0</v>
      </c>
    </row>
    <row r="175" spans="1:5" ht="15.6" hidden="1" x14ac:dyDescent="0.3">
      <c r="A175" s="81"/>
      <c r="B175" s="69" t="s">
        <v>8</v>
      </c>
      <c r="C175" s="82"/>
      <c r="D175" s="50"/>
      <c r="E175" s="83">
        <f t="shared" si="12"/>
        <v>0</v>
      </c>
    </row>
    <row r="176" spans="1:5" ht="15.6" hidden="1" x14ac:dyDescent="0.3">
      <c r="A176" s="81"/>
      <c r="B176" s="69" t="s">
        <v>9</v>
      </c>
      <c r="C176" s="82"/>
      <c r="D176" s="50"/>
      <c r="E176" s="83">
        <f t="shared" si="12"/>
        <v>0</v>
      </c>
    </row>
    <row r="177" spans="1:5" ht="15.6" hidden="1" x14ac:dyDescent="0.3">
      <c r="A177" s="81"/>
      <c r="B177" s="69" t="s">
        <v>10</v>
      </c>
      <c r="C177" s="85"/>
      <c r="D177" s="50"/>
      <c r="E177" s="83">
        <f t="shared" si="12"/>
        <v>0</v>
      </c>
    </row>
    <row r="178" spans="1:5" ht="15.6" hidden="1" x14ac:dyDescent="0.3">
      <c r="A178" s="81"/>
      <c r="B178" s="69" t="s">
        <v>11</v>
      </c>
      <c r="C178" s="86"/>
      <c r="D178" s="87"/>
      <c r="E178" s="83">
        <f t="shared" si="12"/>
        <v>0</v>
      </c>
    </row>
    <row r="179" spans="1:5" ht="15.6" hidden="1" x14ac:dyDescent="0.3">
      <c r="A179" s="81"/>
      <c r="B179" s="69" t="s">
        <v>12</v>
      </c>
      <c r="C179" s="86"/>
      <c r="D179" s="50"/>
      <c r="E179" s="83">
        <f t="shared" si="12"/>
        <v>0</v>
      </c>
    </row>
    <row r="180" spans="1:5" ht="15.6" hidden="1" x14ac:dyDescent="0.3">
      <c r="A180" s="81"/>
      <c r="B180" s="69" t="s">
        <v>13</v>
      </c>
      <c r="C180" s="82"/>
      <c r="D180" s="50"/>
      <c r="E180" s="83">
        <f t="shared" si="12"/>
        <v>0</v>
      </c>
    </row>
    <row r="181" spans="1:5" ht="15.6" hidden="1" x14ac:dyDescent="0.3">
      <c r="A181" s="81"/>
      <c r="B181" s="69" t="s">
        <v>14</v>
      </c>
      <c r="C181" s="85"/>
      <c r="D181" s="50"/>
      <c r="E181" s="83">
        <f t="shared" si="12"/>
        <v>0</v>
      </c>
    </row>
    <row r="182" spans="1:5" ht="15.6" hidden="1" x14ac:dyDescent="0.3">
      <c r="A182" s="81"/>
      <c r="B182" s="88" t="s">
        <v>15</v>
      </c>
      <c r="C182" s="89">
        <f>SUM(C173:C181)</f>
        <v>0</v>
      </c>
      <c r="D182" s="90">
        <f>SUM(D173:D181)</f>
        <v>0</v>
      </c>
      <c r="E182" s="91">
        <f t="shared" ref="E182:E205" si="13">SUM(C182:D182)</f>
        <v>0</v>
      </c>
    </row>
    <row r="183" spans="1:5" ht="15.6" hidden="1" x14ac:dyDescent="0.3">
      <c r="A183" s="81"/>
      <c r="B183" s="68"/>
      <c r="C183" s="80"/>
      <c r="D183" s="80"/>
      <c r="E183" s="83">
        <f t="shared" si="13"/>
        <v>0</v>
      </c>
    </row>
    <row r="184" spans="1:5" ht="15.6" hidden="1" x14ac:dyDescent="0.3">
      <c r="A184" s="81"/>
      <c r="B184" s="88" t="s">
        <v>16</v>
      </c>
      <c r="C184" s="82"/>
      <c r="D184" s="80"/>
      <c r="E184" s="83">
        <f t="shared" si="13"/>
        <v>0</v>
      </c>
    </row>
    <row r="185" spans="1:5" ht="15.6" hidden="1" x14ac:dyDescent="0.3">
      <c r="A185" s="81"/>
      <c r="B185" s="88" t="s">
        <v>17</v>
      </c>
      <c r="C185" s="82"/>
      <c r="D185" s="80"/>
      <c r="E185" s="83">
        <f t="shared" si="13"/>
        <v>0</v>
      </c>
    </row>
    <row r="186" spans="1:5" ht="15.6" hidden="1" x14ac:dyDescent="0.3">
      <c r="A186" s="81"/>
      <c r="B186" s="69" t="s">
        <v>18</v>
      </c>
      <c r="C186" s="82">
        <v>0</v>
      </c>
      <c r="D186" s="50">
        <v>0</v>
      </c>
      <c r="E186" s="83">
        <f t="shared" si="13"/>
        <v>0</v>
      </c>
    </row>
    <row r="187" spans="1:5" ht="15.6" hidden="1" x14ac:dyDescent="0.3">
      <c r="A187" s="81"/>
      <c r="B187" s="69" t="s">
        <v>19</v>
      </c>
      <c r="C187" s="82"/>
      <c r="D187" s="50">
        <v>0</v>
      </c>
      <c r="E187" s="83">
        <f t="shared" si="13"/>
        <v>0</v>
      </c>
    </row>
    <row r="188" spans="1:5" ht="15.6" hidden="1" x14ac:dyDescent="0.3">
      <c r="A188" s="81"/>
      <c r="B188" s="69" t="s">
        <v>20</v>
      </c>
      <c r="C188" s="82"/>
      <c r="D188" s="50">
        <v>0</v>
      </c>
      <c r="E188" s="83">
        <f t="shared" si="13"/>
        <v>0</v>
      </c>
    </row>
    <row r="189" spans="1:5" ht="15.6" hidden="1" x14ac:dyDescent="0.3">
      <c r="A189" s="80"/>
      <c r="B189" s="68" t="s">
        <v>21</v>
      </c>
      <c r="C189" s="86"/>
      <c r="D189" s="50">
        <v>0</v>
      </c>
      <c r="E189" s="83">
        <f t="shared" si="13"/>
        <v>0</v>
      </c>
    </row>
    <row r="190" spans="1:5" ht="15.6" hidden="1" x14ac:dyDescent="0.3">
      <c r="A190" s="80"/>
      <c r="B190" s="69" t="s">
        <v>22</v>
      </c>
      <c r="C190" s="82"/>
      <c r="D190" s="50">
        <v>0</v>
      </c>
      <c r="E190" s="83">
        <f t="shared" si="13"/>
        <v>0</v>
      </c>
    </row>
    <row r="191" spans="1:5" ht="15.6" hidden="1" x14ac:dyDescent="0.3">
      <c r="A191" s="80"/>
      <c r="B191" s="69" t="s">
        <v>23</v>
      </c>
      <c r="C191" s="82"/>
      <c r="D191" s="50">
        <v>0</v>
      </c>
      <c r="E191" s="83">
        <f t="shared" si="13"/>
        <v>0</v>
      </c>
    </row>
    <row r="192" spans="1:5" ht="15.6" hidden="1" x14ac:dyDescent="0.3">
      <c r="A192" s="81"/>
      <c r="B192" s="69" t="s">
        <v>24</v>
      </c>
      <c r="C192" s="82"/>
      <c r="D192" s="50">
        <v>0</v>
      </c>
      <c r="E192" s="83">
        <f t="shared" si="13"/>
        <v>0</v>
      </c>
    </row>
    <row r="193" spans="1:8" ht="15.6" hidden="1" x14ac:dyDescent="0.3">
      <c r="A193" s="81"/>
      <c r="B193" s="67" t="s">
        <v>25</v>
      </c>
      <c r="C193" s="89">
        <f>SUM(C186:C192)</f>
        <v>0</v>
      </c>
      <c r="D193" s="50">
        <f>SUM(D186:D192)</f>
        <v>0</v>
      </c>
      <c r="E193" s="91">
        <f t="shared" si="13"/>
        <v>0</v>
      </c>
    </row>
    <row r="194" spans="1:8" ht="15.6" hidden="1" x14ac:dyDescent="0.3">
      <c r="A194" s="81"/>
      <c r="B194" s="68"/>
      <c r="C194" s="80"/>
      <c r="D194" s="80"/>
      <c r="E194" s="83">
        <f t="shared" si="13"/>
        <v>0</v>
      </c>
    </row>
    <row r="195" spans="1:8" ht="15.6" hidden="1" x14ac:dyDescent="0.3">
      <c r="A195" s="81"/>
      <c r="B195" s="67" t="s">
        <v>26</v>
      </c>
      <c r="C195" s="82"/>
      <c r="D195" s="80"/>
      <c r="E195" s="83">
        <f t="shared" si="13"/>
        <v>0</v>
      </c>
    </row>
    <row r="196" spans="1:8" ht="15.6" hidden="1" x14ac:dyDescent="0.3">
      <c r="A196" s="80"/>
      <c r="B196" s="69" t="s">
        <v>27</v>
      </c>
      <c r="C196" s="82"/>
      <c r="D196" s="50"/>
      <c r="E196" s="83">
        <f t="shared" si="13"/>
        <v>0</v>
      </c>
    </row>
    <row r="197" spans="1:8" ht="15.6" hidden="1" x14ac:dyDescent="0.3">
      <c r="A197" s="80"/>
      <c r="B197" s="69" t="s">
        <v>28</v>
      </c>
      <c r="C197" s="82"/>
      <c r="D197" s="50"/>
      <c r="E197" s="83">
        <f t="shared" si="13"/>
        <v>0</v>
      </c>
    </row>
    <row r="198" spans="1:8" ht="15.6" hidden="1" x14ac:dyDescent="0.3">
      <c r="A198" s="81"/>
      <c r="B198" s="69" t="s">
        <v>29</v>
      </c>
      <c r="C198" s="82"/>
      <c r="D198" s="50"/>
      <c r="E198" s="83">
        <f t="shared" si="13"/>
        <v>0</v>
      </c>
    </row>
    <row r="199" spans="1:8" ht="15.6" hidden="1" x14ac:dyDescent="0.3">
      <c r="A199" s="81"/>
      <c r="B199" s="69" t="s">
        <v>30</v>
      </c>
      <c r="C199" s="82"/>
      <c r="D199" s="50"/>
      <c r="E199" s="83">
        <f t="shared" si="13"/>
        <v>0</v>
      </c>
    </row>
    <row r="200" spans="1:8" ht="15.6" hidden="1" x14ac:dyDescent="0.3">
      <c r="A200" s="81"/>
      <c r="B200" s="69" t="s">
        <v>31</v>
      </c>
      <c r="C200" s="86"/>
      <c r="D200" s="87"/>
      <c r="E200" s="83">
        <f t="shared" si="13"/>
        <v>0</v>
      </c>
    </row>
    <row r="201" spans="1:8" ht="15.6" hidden="1" x14ac:dyDescent="0.3">
      <c r="A201" s="81"/>
      <c r="B201" s="69" t="s">
        <v>32</v>
      </c>
      <c r="C201" s="82"/>
      <c r="D201" s="87"/>
      <c r="E201" s="83">
        <f t="shared" si="13"/>
        <v>0</v>
      </c>
      <c r="H201" s="66">
        <f>+E205-E182</f>
        <v>0</v>
      </c>
    </row>
    <row r="202" spans="1:8" ht="15.6" hidden="1" x14ac:dyDescent="0.3">
      <c r="A202" s="81"/>
      <c r="B202" s="69" t="s">
        <v>33</v>
      </c>
      <c r="C202" s="82"/>
      <c r="D202" s="92"/>
      <c r="E202" s="83">
        <f t="shared" si="13"/>
        <v>0</v>
      </c>
    </row>
    <row r="203" spans="1:8" ht="15.6" hidden="1" x14ac:dyDescent="0.3">
      <c r="A203" s="81"/>
      <c r="B203" s="67" t="s">
        <v>34</v>
      </c>
      <c r="C203" s="89">
        <f>SUM(C196:C202)</f>
        <v>0</v>
      </c>
      <c r="D203" s="90">
        <f>SUM(D196:D202)</f>
        <v>0</v>
      </c>
      <c r="E203" s="91">
        <f t="shared" si="13"/>
        <v>0</v>
      </c>
    </row>
    <row r="204" spans="1:8" ht="15.6" hidden="1" x14ac:dyDescent="0.3">
      <c r="A204" s="80"/>
      <c r="B204" s="68"/>
      <c r="C204" s="80"/>
      <c r="D204" s="80"/>
      <c r="E204" s="83">
        <f t="shared" si="13"/>
        <v>0</v>
      </c>
    </row>
    <row r="205" spans="1:8" ht="15.6" hidden="1" x14ac:dyDescent="0.3">
      <c r="A205" s="93"/>
      <c r="B205" s="94" t="s">
        <v>35</v>
      </c>
      <c r="C205" s="95">
        <f>C193+C203</f>
        <v>0</v>
      </c>
      <c r="D205" s="96">
        <f>D193+D203</f>
        <v>0</v>
      </c>
      <c r="E205" s="95">
        <f t="shared" si="13"/>
        <v>0</v>
      </c>
      <c r="G205" s="66"/>
    </row>
    <row r="206" spans="1:8" hidden="1" x14ac:dyDescent="0.3">
      <c r="A206" s="70"/>
      <c r="B206" s="70"/>
      <c r="C206" s="70"/>
      <c r="D206" s="70"/>
      <c r="E206" s="70"/>
    </row>
    <row r="207" spans="1:8" x14ac:dyDescent="0.3">
      <c r="A207" s="70"/>
      <c r="B207" s="70"/>
      <c r="C207" s="70"/>
      <c r="D207" s="70"/>
      <c r="E207" s="70"/>
    </row>
    <row r="208" spans="1:8" ht="15.6" x14ac:dyDescent="0.3">
      <c r="B208" s="106" t="s">
        <v>92</v>
      </c>
      <c r="C208" s="106"/>
      <c r="D208" s="106"/>
      <c r="E208" s="106"/>
    </row>
    <row r="209" spans="2:5" ht="15.6" x14ac:dyDescent="0.3">
      <c r="B209" s="106" t="s">
        <v>93</v>
      </c>
      <c r="C209" s="106"/>
      <c r="D209" s="106"/>
      <c r="E209" s="106"/>
    </row>
    <row r="210" spans="2:5" ht="15.6" x14ac:dyDescent="0.3">
      <c r="B210" s="103"/>
      <c r="C210" s="104"/>
      <c r="D210" s="104"/>
      <c r="E210" s="105"/>
    </row>
    <row r="211" spans="2:5" ht="15.6" x14ac:dyDescent="0.3">
      <c r="B211" s="103" t="s">
        <v>94</v>
      </c>
      <c r="C211" s="104" t="s">
        <v>90</v>
      </c>
      <c r="D211" s="104" t="s">
        <v>89</v>
      </c>
      <c r="E211" s="105"/>
    </row>
    <row r="212" spans="2:5" ht="15.6" x14ac:dyDescent="0.3">
      <c r="B212" s="103"/>
      <c r="C212" s="104"/>
      <c r="D212" s="104"/>
      <c r="E212" s="105"/>
    </row>
    <row r="213" spans="2:5" ht="15.6" x14ac:dyDescent="0.3">
      <c r="B213" s="103"/>
      <c r="C213" s="104"/>
      <c r="D213" s="104"/>
      <c r="E213" s="105"/>
    </row>
    <row r="214" spans="2:5" x14ac:dyDescent="0.3">
      <c r="B214" t="s">
        <v>95</v>
      </c>
      <c r="C214" t="s">
        <v>96</v>
      </c>
      <c r="D214" t="s">
        <v>97</v>
      </c>
    </row>
  </sheetData>
  <mergeCells count="2">
    <mergeCell ref="B208:E208"/>
    <mergeCell ref="B209:E209"/>
  </mergeCells>
  <pageMargins left="0.31496062992125984" right="0.31496062992125984" top="0.74803149606299213" bottom="0.74803149606299213" header="0.31496062992125984" footer="0.31496062992125984"/>
  <pageSetup paperSize="9" scale="9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"/>
  <sheetViews>
    <sheetView topLeftCell="A26" zoomScaleNormal="100" workbookViewId="0">
      <selection activeCell="B36" sqref="B36:E42"/>
    </sheetView>
  </sheetViews>
  <sheetFormatPr defaultRowHeight="14.4" x14ac:dyDescent="0.3"/>
  <cols>
    <col min="1" max="1" width="7.109375" customWidth="1"/>
    <col min="2" max="2" width="34.5546875" bestFit="1" customWidth="1"/>
    <col min="3" max="3" width="16.5546875" bestFit="1" customWidth="1"/>
    <col min="4" max="4" width="16.88671875" bestFit="1" customWidth="1"/>
    <col min="5" max="5" width="17.88671875" bestFit="1" customWidth="1"/>
  </cols>
  <sheetData>
    <row r="1" spans="1:5" ht="18" x14ac:dyDescent="0.35">
      <c r="A1" s="31" t="s">
        <v>86</v>
      </c>
      <c r="B1" s="32"/>
      <c r="C1" s="33"/>
      <c r="D1" s="2"/>
      <c r="E1" s="2"/>
    </row>
    <row r="2" spans="1:5" ht="18" x14ac:dyDescent="0.35">
      <c r="A2" s="34"/>
      <c r="B2" s="33"/>
      <c r="C2" s="33"/>
      <c r="D2" s="2"/>
      <c r="E2" s="2"/>
    </row>
    <row r="3" spans="1:5" ht="18" x14ac:dyDescent="0.35">
      <c r="A3" s="35" t="s">
        <v>36</v>
      </c>
      <c r="B3" s="36" t="s">
        <v>1</v>
      </c>
      <c r="C3" s="37" t="s">
        <v>37</v>
      </c>
      <c r="D3" s="7" t="s">
        <v>38</v>
      </c>
      <c r="E3" s="36" t="s">
        <v>37</v>
      </c>
    </row>
    <row r="4" spans="1:5" ht="18" x14ac:dyDescent="0.35">
      <c r="A4" s="38"/>
      <c r="B4" s="39"/>
      <c r="C4" s="40"/>
      <c r="D4" s="10" t="s">
        <v>39</v>
      </c>
      <c r="E4" s="10" t="s">
        <v>40</v>
      </c>
    </row>
    <row r="5" spans="1:5" ht="18" x14ac:dyDescent="0.35">
      <c r="A5" s="41">
        <v>1</v>
      </c>
      <c r="B5" s="42" t="s">
        <v>41</v>
      </c>
      <c r="C5" s="43"/>
      <c r="D5" s="44"/>
      <c r="E5" s="12"/>
    </row>
    <row r="6" spans="1:5" ht="18" x14ac:dyDescent="0.35">
      <c r="A6" s="45"/>
      <c r="B6" s="46" t="s">
        <v>42</v>
      </c>
      <c r="C6" s="47">
        <v>16870000</v>
      </c>
      <c r="D6" s="48">
        <v>0</v>
      </c>
      <c r="E6" s="17">
        <f>SUM(C6:D6)</f>
        <v>16870000</v>
      </c>
    </row>
    <row r="7" spans="1:5" ht="18" x14ac:dyDescent="0.35">
      <c r="A7" s="49"/>
      <c r="B7" s="46" t="s">
        <v>43</v>
      </c>
      <c r="C7" s="47">
        <v>185000</v>
      </c>
      <c r="D7" s="48">
        <v>0</v>
      </c>
      <c r="E7" s="17">
        <f t="shared" ref="E7:E34" si="0">SUM(C7:D7)</f>
        <v>185000</v>
      </c>
    </row>
    <row r="8" spans="1:5" ht="18" x14ac:dyDescent="0.35">
      <c r="A8" s="45"/>
      <c r="B8" s="46" t="s">
        <v>44</v>
      </c>
      <c r="C8" s="47">
        <v>2395000</v>
      </c>
      <c r="D8" s="48">
        <v>0</v>
      </c>
      <c r="E8" s="17">
        <f t="shared" si="0"/>
        <v>2395000</v>
      </c>
    </row>
    <row r="9" spans="1:5" ht="18" x14ac:dyDescent="0.35">
      <c r="A9" s="45"/>
      <c r="B9" s="46" t="s">
        <v>45</v>
      </c>
      <c r="C9" s="50">
        <v>898</v>
      </c>
      <c r="D9" s="16">
        <v>515661</v>
      </c>
      <c r="E9" s="17">
        <f t="shared" si="0"/>
        <v>516559</v>
      </c>
    </row>
    <row r="10" spans="1:5" ht="18" x14ac:dyDescent="0.35">
      <c r="A10" s="45"/>
      <c r="B10" s="46" t="s">
        <v>46</v>
      </c>
      <c r="C10" s="48"/>
      <c r="D10" s="16">
        <v>28016000</v>
      </c>
      <c r="E10" s="17">
        <f t="shared" si="0"/>
        <v>28016000</v>
      </c>
    </row>
    <row r="11" spans="1:5" ht="15.6" x14ac:dyDescent="0.3">
      <c r="A11" s="51"/>
      <c r="B11" s="46" t="s">
        <v>47</v>
      </c>
      <c r="C11" s="52">
        <v>425299</v>
      </c>
      <c r="D11" s="16">
        <f>SUM(J11:L11)</f>
        <v>0</v>
      </c>
      <c r="E11" s="17">
        <f t="shared" si="0"/>
        <v>425299</v>
      </c>
    </row>
    <row r="12" spans="1:5" ht="15.6" x14ac:dyDescent="0.3">
      <c r="A12" s="51"/>
      <c r="B12" s="13" t="s">
        <v>48</v>
      </c>
      <c r="C12" s="53">
        <v>999999</v>
      </c>
      <c r="D12" s="16">
        <f>SUM(J12:L12)</f>
        <v>0</v>
      </c>
      <c r="E12" s="17">
        <f t="shared" si="0"/>
        <v>999999</v>
      </c>
    </row>
    <row r="13" spans="1:5" ht="15.6" x14ac:dyDescent="0.3">
      <c r="A13" s="51"/>
      <c r="B13" s="13"/>
      <c r="C13" s="17"/>
      <c r="D13" s="16"/>
      <c r="E13" s="17">
        <f t="shared" si="0"/>
        <v>0</v>
      </c>
    </row>
    <row r="14" spans="1:5" ht="18" x14ac:dyDescent="0.35">
      <c r="A14" s="45"/>
      <c r="B14" s="54" t="s">
        <v>49</v>
      </c>
      <c r="C14" s="55">
        <f>SUM(C6:C13)</f>
        <v>20876196</v>
      </c>
      <c r="D14" s="24">
        <f>SUM(D6:D13)</f>
        <v>28531661</v>
      </c>
      <c r="E14" s="56">
        <f t="shared" si="0"/>
        <v>49407857</v>
      </c>
    </row>
    <row r="15" spans="1:5" ht="18" x14ac:dyDescent="0.35">
      <c r="A15" s="45"/>
      <c r="B15" s="13"/>
      <c r="C15" s="13"/>
      <c r="D15" s="16"/>
      <c r="E15" s="17">
        <f t="shared" si="0"/>
        <v>0</v>
      </c>
    </row>
    <row r="16" spans="1:5" ht="18" x14ac:dyDescent="0.35">
      <c r="A16" s="57">
        <v>2</v>
      </c>
      <c r="B16" s="58" t="s">
        <v>50</v>
      </c>
      <c r="C16" s="59"/>
      <c r="E16" s="17">
        <f t="shared" si="0"/>
        <v>0</v>
      </c>
    </row>
    <row r="17" spans="1:5" ht="18" x14ac:dyDescent="0.35">
      <c r="A17" s="57"/>
      <c r="B17" s="46" t="s">
        <v>67</v>
      </c>
      <c r="C17" s="59"/>
      <c r="E17" s="17"/>
    </row>
    <row r="18" spans="1:5" ht="18" x14ac:dyDescent="0.35">
      <c r="A18" s="45"/>
      <c r="B18" s="46" t="s">
        <v>87</v>
      </c>
      <c r="C18" s="47">
        <v>765600</v>
      </c>
      <c r="D18" s="16">
        <v>146800</v>
      </c>
      <c r="E18" s="17">
        <f>SUM(C18:D18)</f>
        <v>912400</v>
      </c>
    </row>
    <row r="19" spans="1:5" ht="18" x14ac:dyDescent="0.35">
      <c r="A19" s="45"/>
      <c r="B19" s="46" t="s">
        <v>52</v>
      </c>
      <c r="C19" s="65">
        <v>6820900</v>
      </c>
      <c r="D19" s="16"/>
      <c r="E19" s="17">
        <f t="shared" si="0"/>
        <v>6820900</v>
      </c>
    </row>
    <row r="20" spans="1:5" ht="18" x14ac:dyDescent="0.35">
      <c r="A20" s="45"/>
      <c r="B20" s="46" t="s">
        <v>53</v>
      </c>
      <c r="C20" s="47">
        <v>21000</v>
      </c>
      <c r="D20" s="16"/>
      <c r="E20" s="17">
        <f t="shared" si="0"/>
        <v>21000</v>
      </c>
    </row>
    <row r="21" spans="1:5" ht="18" x14ac:dyDescent="0.35">
      <c r="A21" s="45"/>
      <c r="B21" s="46" t="s">
        <v>54</v>
      </c>
      <c r="C21" s="47">
        <v>285061</v>
      </c>
      <c r="D21" s="16"/>
      <c r="E21" s="17">
        <f t="shared" si="0"/>
        <v>285061</v>
      </c>
    </row>
    <row r="22" spans="1:5" ht="18" x14ac:dyDescent="0.35">
      <c r="A22" s="45"/>
      <c r="B22" s="46" t="s">
        <v>55</v>
      </c>
      <c r="C22" s="47">
        <v>1450000</v>
      </c>
      <c r="D22" s="16"/>
      <c r="E22" s="17">
        <f t="shared" si="0"/>
        <v>1450000</v>
      </c>
    </row>
    <row r="23" spans="1:5" ht="18" x14ac:dyDescent="0.35">
      <c r="A23" s="45"/>
      <c r="B23" s="46" t="s">
        <v>56</v>
      </c>
      <c r="C23" s="47">
        <v>557888</v>
      </c>
      <c r="D23" s="16"/>
      <c r="E23" s="17">
        <f t="shared" si="0"/>
        <v>557888</v>
      </c>
    </row>
    <row r="24" spans="1:5" ht="18" x14ac:dyDescent="0.35">
      <c r="A24" s="45"/>
      <c r="B24" s="46" t="s">
        <v>57</v>
      </c>
      <c r="C24" s="47">
        <v>1257000</v>
      </c>
      <c r="D24" s="16"/>
      <c r="E24" s="17">
        <f t="shared" si="0"/>
        <v>1257000</v>
      </c>
    </row>
    <row r="25" spans="1:5" ht="18" x14ac:dyDescent="0.35">
      <c r="A25" s="45"/>
      <c r="B25" s="46" t="s">
        <v>58</v>
      </c>
      <c r="C25" s="59"/>
      <c r="D25" s="16"/>
      <c r="E25" s="17">
        <f t="shared" si="0"/>
        <v>0</v>
      </c>
    </row>
    <row r="26" spans="1:5" ht="18" x14ac:dyDescent="0.35">
      <c r="A26" s="45"/>
      <c r="B26" s="46" t="s">
        <v>59</v>
      </c>
      <c r="C26" s="59">
        <v>750</v>
      </c>
      <c r="D26" s="16">
        <v>2500</v>
      </c>
      <c r="E26" s="17">
        <f t="shared" si="0"/>
        <v>3250</v>
      </c>
    </row>
    <row r="27" spans="1:5" ht="18" x14ac:dyDescent="0.35">
      <c r="A27" s="45"/>
      <c r="B27" s="46" t="s">
        <v>60</v>
      </c>
      <c r="C27" s="59"/>
      <c r="D27" s="16">
        <v>24039328</v>
      </c>
      <c r="E27" s="17">
        <f t="shared" si="0"/>
        <v>24039328</v>
      </c>
    </row>
    <row r="28" spans="1:5" ht="18" x14ac:dyDescent="0.35">
      <c r="A28" s="49"/>
      <c r="B28" s="46" t="s">
        <v>61</v>
      </c>
      <c r="C28" s="60">
        <v>750000</v>
      </c>
      <c r="D28" s="16">
        <v>1506000</v>
      </c>
      <c r="E28" s="17">
        <f t="shared" si="0"/>
        <v>2256000</v>
      </c>
    </row>
    <row r="29" spans="1:5" ht="15.6" x14ac:dyDescent="0.3">
      <c r="A29" s="51"/>
      <c r="B29" s="46" t="s">
        <v>62</v>
      </c>
      <c r="C29" s="60"/>
      <c r="D29" s="16"/>
      <c r="E29" s="17">
        <f t="shared" si="0"/>
        <v>0</v>
      </c>
    </row>
    <row r="30" spans="1:5" ht="15.6" x14ac:dyDescent="0.3">
      <c r="A30" s="51"/>
      <c r="B30" s="13" t="s">
        <v>70</v>
      </c>
      <c r="C30" s="48">
        <v>0</v>
      </c>
      <c r="D30" s="16"/>
      <c r="E30" s="17">
        <f t="shared" si="0"/>
        <v>0</v>
      </c>
    </row>
    <row r="31" spans="1:5" ht="15.6" x14ac:dyDescent="0.3">
      <c r="A31" s="61"/>
      <c r="B31" s="13"/>
      <c r="C31" s="13"/>
      <c r="D31" s="16"/>
      <c r="E31" s="17"/>
    </row>
    <row r="32" spans="1:5" ht="18" x14ac:dyDescent="0.35">
      <c r="A32" s="45">
        <v>3</v>
      </c>
      <c r="B32" s="54" t="s">
        <v>63</v>
      </c>
      <c r="C32" s="55">
        <f>SUM(C18:C31)</f>
        <v>11908199</v>
      </c>
      <c r="D32" s="24">
        <f>SUM(D18:D31)</f>
        <v>25694628</v>
      </c>
      <c r="E32" s="56">
        <f>SUM(E15:E31)</f>
        <v>37602827</v>
      </c>
    </row>
    <row r="33" spans="1:5" ht="18" x14ac:dyDescent="0.35">
      <c r="A33" s="49"/>
      <c r="B33" s="13"/>
      <c r="C33" s="13"/>
      <c r="D33" s="16"/>
      <c r="E33" s="17">
        <f t="shared" si="0"/>
        <v>0</v>
      </c>
    </row>
    <row r="34" spans="1:5" ht="18" x14ac:dyDescent="0.35">
      <c r="A34" s="62"/>
      <c r="B34" s="63" t="s">
        <v>64</v>
      </c>
      <c r="C34" s="64">
        <f>C14-C32</f>
        <v>8967997</v>
      </c>
      <c r="D34" s="64">
        <f>D14-D32</f>
        <v>2837033</v>
      </c>
      <c r="E34" s="29">
        <f t="shared" si="0"/>
        <v>11805030</v>
      </c>
    </row>
    <row r="35" spans="1:5" ht="18" x14ac:dyDescent="0.35">
      <c r="A35" s="102"/>
      <c r="B35" s="103"/>
      <c r="C35" s="104"/>
      <c r="D35" s="104"/>
      <c r="E35" s="105"/>
    </row>
    <row r="36" spans="1:5" ht="18" x14ac:dyDescent="0.35">
      <c r="A36" s="102"/>
      <c r="B36" s="106" t="s">
        <v>92</v>
      </c>
      <c r="C36" s="106"/>
      <c r="D36" s="106"/>
      <c r="E36" s="106"/>
    </row>
    <row r="37" spans="1:5" ht="18" x14ac:dyDescent="0.35">
      <c r="A37" s="102"/>
      <c r="B37" s="106" t="s">
        <v>93</v>
      </c>
      <c r="C37" s="106"/>
      <c r="D37" s="106"/>
      <c r="E37" s="106"/>
    </row>
    <row r="38" spans="1:5" ht="18" x14ac:dyDescent="0.35">
      <c r="A38" s="102"/>
      <c r="B38" s="103"/>
      <c r="C38" s="104"/>
      <c r="D38" s="104"/>
      <c r="E38" s="105"/>
    </row>
    <row r="39" spans="1:5" ht="18" x14ac:dyDescent="0.35">
      <c r="A39" s="102"/>
      <c r="B39" s="103" t="s">
        <v>94</v>
      </c>
      <c r="C39" s="104" t="s">
        <v>90</v>
      </c>
      <c r="D39" s="104" t="s">
        <v>89</v>
      </c>
      <c r="E39" s="105"/>
    </row>
    <row r="40" spans="1:5" ht="18" x14ac:dyDescent="0.35">
      <c r="A40" s="102"/>
      <c r="B40" s="103"/>
      <c r="C40" s="104"/>
      <c r="D40" s="104"/>
      <c r="E40" s="105"/>
    </row>
    <row r="41" spans="1:5" ht="18" x14ac:dyDescent="0.35">
      <c r="A41" s="102"/>
      <c r="B41" s="103"/>
      <c r="C41" s="104"/>
      <c r="D41" s="104"/>
      <c r="E41" s="105"/>
    </row>
    <row r="42" spans="1:5" x14ac:dyDescent="0.3">
      <c r="B42" t="s">
        <v>95</v>
      </c>
      <c r="C42" t="s">
        <v>96</v>
      </c>
      <c r="D42" t="s">
        <v>97</v>
      </c>
    </row>
    <row r="43" spans="1:5" hidden="1" x14ac:dyDescent="0.3"/>
    <row r="44" spans="1:5" ht="18" hidden="1" x14ac:dyDescent="0.35">
      <c r="A44" s="31" t="s">
        <v>73</v>
      </c>
      <c r="B44" s="32"/>
      <c r="C44" s="33"/>
      <c r="D44" s="2"/>
      <c r="E44" s="2"/>
    </row>
    <row r="45" spans="1:5" ht="18" hidden="1" x14ac:dyDescent="0.35">
      <c r="A45" s="34"/>
      <c r="B45" s="33"/>
      <c r="C45" s="33"/>
      <c r="D45" s="2"/>
      <c r="E45" s="2"/>
    </row>
    <row r="46" spans="1:5" ht="18" hidden="1" x14ac:dyDescent="0.35">
      <c r="A46" s="35" t="s">
        <v>36</v>
      </c>
      <c r="B46" s="36" t="s">
        <v>1</v>
      </c>
      <c r="C46" s="37" t="s">
        <v>37</v>
      </c>
      <c r="D46" s="7" t="s">
        <v>38</v>
      </c>
      <c r="E46" s="36" t="s">
        <v>37</v>
      </c>
    </row>
    <row r="47" spans="1:5" ht="18" hidden="1" x14ac:dyDescent="0.35">
      <c r="A47" s="38"/>
      <c r="B47" s="39"/>
      <c r="C47" s="40"/>
      <c r="D47" s="10" t="s">
        <v>39</v>
      </c>
      <c r="E47" s="10" t="s">
        <v>40</v>
      </c>
    </row>
    <row r="48" spans="1:5" ht="18" hidden="1" x14ac:dyDescent="0.35">
      <c r="A48" s="41">
        <v>1</v>
      </c>
      <c r="B48" s="42" t="s">
        <v>41</v>
      </c>
      <c r="C48" s="43"/>
      <c r="D48" s="44"/>
      <c r="E48" s="12"/>
    </row>
    <row r="49" spans="1:5" ht="18" hidden="1" x14ac:dyDescent="0.35">
      <c r="A49" s="45"/>
      <c r="B49" s="46" t="s">
        <v>42</v>
      </c>
      <c r="C49" s="47">
        <f>17706000+50000</f>
        <v>17756000</v>
      </c>
      <c r="D49" s="48">
        <v>0</v>
      </c>
      <c r="E49" s="17">
        <f>SUM(C49:D49)</f>
        <v>17756000</v>
      </c>
    </row>
    <row r="50" spans="1:5" ht="18" hidden="1" x14ac:dyDescent="0.35">
      <c r="A50" s="49"/>
      <c r="B50" s="46" t="s">
        <v>43</v>
      </c>
      <c r="C50" s="47">
        <v>65000</v>
      </c>
      <c r="D50" s="48">
        <v>0</v>
      </c>
      <c r="E50" s="17">
        <f t="shared" ref="E50:E59" si="1">SUM(C50:D50)</f>
        <v>65000</v>
      </c>
    </row>
    <row r="51" spans="1:5" ht="18" hidden="1" x14ac:dyDescent="0.35">
      <c r="A51" s="45"/>
      <c r="B51" s="46" t="s">
        <v>44</v>
      </c>
      <c r="C51" s="47">
        <v>1515000</v>
      </c>
      <c r="D51" s="48">
        <v>0</v>
      </c>
      <c r="E51" s="17">
        <f t="shared" si="1"/>
        <v>1515000</v>
      </c>
    </row>
    <row r="52" spans="1:5" ht="18" hidden="1" x14ac:dyDescent="0.35">
      <c r="A52" s="45"/>
      <c r="B52" s="46" t="s">
        <v>45</v>
      </c>
      <c r="C52" s="50"/>
      <c r="D52" s="16">
        <v>535900</v>
      </c>
      <c r="E52" s="17">
        <f t="shared" si="1"/>
        <v>535900</v>
      </c>
    </row>
    <row r="53" spans="1:5" ht="18" hidden="1" x14ac:dyDescent="0.35">
      <c r="A53" s="45"/>
      <c r="B53" s="46" t="s">
        <v>46</v>
      </c>
      <c r="C53" s="48"/>
      <c r="D53" s="16">
        <v>19555450</v>
      </c>
      <c r="E53" s="17">
        <f t="shared" si="1"/>
        <v>19555450</v>
      </c>
    </row>
    <row r="54" spans="1:5" ht="15.6" hidden="1" x14ac:dyDescent="0.3">
      <c r="A54" s="51"/>
      <c r="B54" s="46" t="s">
        <v>47</v>
      </c>
      <c r="C54" s="52">
        <f>341915+48112</f>
        <v>390027</v>
      </c>
      <c r="D54" s="16">
        <f>SUM(J54:L54)</f>
        <v>0</v>
      </c>
      <c r="E54" s="17">
        <f t="shared" si="1"/>
        <v>390027</v>
      </c>
    </row>
    <row r="55" spans="1:5" ht="15.6" hidden="1" x14ac:dyDescent="0.3">
      <c r="A55" s="51"/>
      <c r="B55" s="13" t="s">
        <v>48</v>
      </c>
      <c r="C55" s="53">
        <v>937500</v>
      </c>
      <c r="D55" s="16">
        <f>SUM(J55:L55)</f>
        <v>0</v>
      </c>
      <c r="E55" s="17">
        <f t="shared" si="1"/>
        <v>937500</v>
      </c>
    </row>
    <row r="56" spans="1:5" ht="15.6" hidden="1" x14ac:dyDescent="0.3">
      <c r="A56" s="51"/>
      <c r="B56" s="13"/>
      <c r="C56" s="17"/>
      <c r="D56" s="16"/>
      <c r="E56" s="17">
        <f t="shared" si="1"/>
        <v>0</v>
      </c>
    </row>
    <row r="57" spans="1:5" ht="18" hidden="1" x14ac:dyDescent="0.35">
      <c r="A57" s="45"/>
      <c r="B57" s="54" t="s">
        <v>49</v>
      </c>
      <c r="C57" s="55">
        <f>SUM(C49:C56)</f>
        <v>20663527</v>
      </c>
      <c r="D57" s="24">
        <f>SUM(D49:D56)</f>
        <v>20091350</v>
      </c>
      <c r="E57" s="56">
        <f t="shared" si="1"/>
        <v>40754877</v>
      </c>
    </row>
    <row r="58" spans="1:5" ht="18" hidden="1" x14ac:dyDescent="0.35">
      <c r="A58" s="45"/>
      <c r="B58" s="13"/>
      <c r="C58" s="13"/>
      <c r="D58" s="16"/>
      <c r="E58" s="17">
        <f t="shared" si="1"/>
        <v>0</v>
      </c>
    </row>
    <row r="59" spans="1:5" ht="18" hidden="1" x14ac:dyDescent="0.35">
      <c r="A59" s="57">
        <v>2</v>
      </c>
      <c r="B59" s="58" t="s">
        <v>50</v>
      </c>
      <c r="C59" s="59"/>
      <c r="E59" s="17">
        <f t="shared" si="1"/>
        <v>0</v>
      </c>
    </row>
    <row r="60" spans="1:5" ht="18" hidden="1" x14ac:dyDescent="0.35">
      <c r="A60" s="57"/>
      <c r="B60" s="46" t="s">
        <v>67</v>
      </c>
      <c r="C60" s="59"/>
      <c r="D60" s="97"/>
      <c r="E60" s="17"/>
    </row>
    <row r="61" spans="1:5" ht="18" hidden="1" x14ac:dyDescent="0.35">
      <c r="A61" s="45"/>
      <c r="B61" s="46" t="s">
        <v>51</v>
      </c>
      <c r="C61" s="47">
        <v>195200</v>
      </c>
      <c r="D61" s="16"/>
      <c r="E61" s="17">
        <f>SUM(C61:D61)</f>
        <v>195200</v>
      </c>
    </row>
    <row r="62" spans="1:5" ht="18" hidden="1" x14ac:dyDescent="0.35">
      <c r="A62" s="45"/>
      <c r="B62" s="46" t="s">
        <v>65</v>
      </c>
      <c r="C62" s="47"/>
      <c r="D62" s="16">
        <v>56700</v>
      </c>
      <c r="E62" s="17">
        <f>SUM(C62:D62)</f>
        <v>56700</v>
      </c>
    </row>
    <row r="63" spans="1:5" ht="18" hidden="1" x14ac:dyDescent="0.35">
      <c r="A63" s="45"/>
      <c r="B63" s="46" t="s">
        <v>52</v>
      </c>
      <c r="C63" s="65">
        <v>0</v>
      </c>
      <c r="D63" s="16"/>
      <c r="E63" s="17">
        <f t="shared" ref="E63:E74" si="2">SUM(C63:D63)</f>
        <v>0</v>
      </c>
    </row>
    <row r="64" spans="1:5" ht="18" hidden="1" x14ac:dyDescent="0.35">
      <c r="A64" s="45"/>
      <c r="B64" s="46" t="s">
        <v>53</v>
      </c>
      <c r="C64" s="47">
        <f>16500+3000</f>
        <v>19500</v>
      </c>
      <c r="D64" s="16"/>
      <c r="E64" s="17">
        <f t="shared" si="2"/>
        <v>19500</v>
      </c>
    </row>
    <row r="65" spans="1:5" ht="18" hidden="1" x14ac:dyDescent="0.35">
      <c r="A65" s="45"/>
      <c r="B65" s="46" t="s">
        <v>54</v>
      </c>
      <c r="C65" s="47">
        <f>9622+68382+187500</f>
        <v>265504</v>
      </c>
      <c r="D65" s="16"/>
      <c r="E65" s="17">
        <f t="shared" si="2"/>
        <v>265504</v>
      </c>
    </row>
    <row r="66" spans="1:5" ht="18" hidden="1" x14ac:dyDescent="0.35">
      <c r="A66" s="45"/>
      <c r="B66" s="46" t="s">
        <v>55</v>
      </c>
      <c r="C66" s="47"/>
      <c r="D66" s="16"/>
      <c r="E66" s="17">
        <f t="shared" si="2"/>
        <v>0</v>
      </c>
    </row>
    <row r="67" spans="1:5" ht="18" hidden="1" x14ac:dyDescent="0.35">
      <c r="A67" s="45"/>
      <c r="B67" s="46" t="s">
        <v>56</v>
      </c>
      <c r="C67" s="47">
        <v>557888</v>
      </c>
      <c r="D67" s="16"/>
      <c r="E67" s="17">
        <f t="shared" si="2"/>
        <v>557888</v>
      </c>
    </row>
    <row r="68" spans="1:5" ht="18" hidden="1" x14ac:dyDescent="0.35">
      <c r="A68" s="45"/>
      <c r="B68" s="46" t="s">
        <v>57</v>
      </c>
      <c r="C68" s="47">
        <v>300000</v>
      </c>
      <c r="D68" s="16"/>
      <c r="E68" s="17">
        <f t="shared" si="2"/>
        <v>300000</v>
      </c>
    </row>
    <row r="69" spans="1:5" ht="18" hidden="1" x14ac:dyDescent="0.35">
      <c r="A69" s="45"/>
      <c r="B69" s="46" t="s">
        <v>58</v>
      </c>
      <c r="C69" s="59"/>
      <c r="D69" s="16"/>
      <c r="E69" s="17">
        <f t="shared" si="2"/>
        <v>0</v>
      </c>
    </row>
    <row r="70" spans="1:5" ht="18" hidden="1" x14ac:dyDescent="0.35">
      <c r="A70" s="45"/>
      <c r="B70" s="46" t="s">
        <v>59</v>
      </c>
      <c r="C70" s="59">
        <v>0</v>
      </c>
      <c r="D70" s="16">
        <v>0</v>
      </c>
      <c r="E70" s="17">
        <f t="shared" si="2"/>
        <v>0</v>
      </c>
    </row>
    <row r="71" spans="1:5" ht="18" hidden="1" x14ac:dyDescent="0.35">
      <c r="A71" s="45"/>
      <c r="B71" s="46" t="s">
        <v>60</v>
      </c>
      <c r="C71" s="59"/>
      <c r="D71" s="16">
        <v>17207715</v>
      </c>
      <c r="E71" s="17">
        <f t="shared" si="2"/>
        <v>17207715</v>
      </c>
    </row>
    <row r="72" spans="1:5" ht="18" hidden="1" x14ac:dyDescent="0.35">
      <c r="A72" s="45"/>
      <c r="B72" s="46" t="s">
        <v>66</v>
      </c>
      <c r="C72" s="60"/>
      <c r="D72" s="16">
        <v>1565000</v>
      </c>
      <c r="E72" s="17">
        <f t="shared" si="2"/>
        <v>1565000</v>
      </c>
    </row>
    <row r="73" spans="1:5" ht="18" hidden="1" x14ac:dyDescent="0.35">
      <c r="A73" s="49"/>
      <c r="B73" s="46" t="s">
        <v>61</v>
      </c>
      <c r="C73" s="60">
        <v>750000</v>
      </c>
      <c r="D73" s="16"/>
      <c r="E73" s="17">
        <f t="shared" si="2"/>
        <v>750000</v>
      </c>
    </row>
    <row r="74" spans="1:5" ht="15.6" hidden="1" x14ac:dyDescent="0.3">
      <c r="A74" s="51"/>
      <c r="B74" s="46" t="s">
        <v>68</v>
      </c>
      <c r="C74" s="60"/>
      <c r="D74" s="16"/>
      <c r="E74" s="17">
        <f t="shared" si="2"/>
        <v>0</v>
      </c>
    </row>
    <row r="75" spans="1:5" ht="15.6" hidden="1" x14ac:dyDescent="0.3">
      <c r="A75" s="61"/>
      <c r="B75" s="13"/>
      <c r="C75" s="13"/>
      <c r="D75" s="16"/>
      <c r="E75" s="17"/>
    </row>
    <row r="76" spans="1:5" ht="18" hidden="1" x14ac:dyDescent="0.35">
      <c r="A76" s="45">
        <v>3</v>
      </c>
      <c r="B76" s="54" t="s">
        <v>63</v>
      </c>
      <c r="C76" s="55">
        <f>SUM(C61:C75)</f>
        <v>2088092</v>
      </c>
      <c r="D76" s="24">
        <f>SUM(D60:D74)</f>
        <v>18829415</v>
      </c>
      <c r="E76" s="56">
        <f>SUM(E58:E75)</f>
        <v>20917507</v>
      </c>
    </row>
    <row r="77" spans="1:5" ht="18" hidden="1" x14ac:dyDescent="0.35">
      <c r="A77" s="49"/>
      <c r="B77" s="13"/>
      <c r="C77" s="13"/>
      <c r="D77" s="16"/>
      <c r="E77" s="17">
        <f t="shared" ref="E77:E78" si="3">SUM(C77:D77)</f>
        <v>0</v>
      </c>
    </row>
    <row r="78" spans="1:5" ht="18" hidden="1" x14ac:dyDescent="0.35">
      <c r="A78" s="62"/>
      <c r="B78" s="63" t="s">
        <v>64</v>
      </c>
      <c r="C78" s="64">
        <f>C57-C76</f>
        <v>18575435</v>
      </c>
      <c r="D78" s="64">
        <f>D57-D76</f>
        <v>1261935</v>
      </c>
      <c r="E78" s="29">
        <f t="shared" si="3"/>
        <v>19837370</v>
      </c>
    </row>
    <row r="79" spans="1:5" hidden="1" x14ac:dyDescent="0.3"/>
    <row r="80" spans="1:5" hidden="1" x14ac:dyDescent="0.3"/>
    <row r="81" spans="1:5" ht="18" hidden="1" x14ac:dyDescent="0.35">
      <c r="A81" s="31" t="s">
        <v>80</v>
      </c>
      <c r="B81" s="32"/>
      <c r="C81" s="33"/>
      <c r="D81" s="2"/>
      <c r="E81" s="2"/>
    </row>
    <row r="82" spans="1:5" ht="18" hidden="1" x14ac:dyDescent="0.35">
      <c r="A82" s="34"/>
      <c r="B82" s="33"/>
      <c r="C82" s="33"/>
      <c r="D82" s="2"/>
      <c r="E82" s="2"/>
    </row>
    <row r="83" spans="1:5" ht="18" hidden="1" x14ac:dyDescent="0.35">
      <c r="A83" s="35" t="s">
        <v>36</v>
      </c>
      <c r="B83" s="36" t="s">
        <v>1</v>
      </c>
      <c r="C83" s="37" t="s">
        <v>37</v>
      </c>
      <c r="D83" s="7" t="s">
        <v>38</v>
      </c>
      <c r="E83" s="36" t="s">
        <v>37</v>
      </c>
    </row>
    <row r="84" spans="1:5" ht="18" hidden="1" x14ac:dyDescent="0.35">
      <c r="A84" s="38"/>
      <c r="B84" s="39"/>
      <c r="C84" s="40"/>
      <c r="D84" s="10" t="s">
        <v>39</v>
      </c>
      <c r="E84" s="10" t="s">
        <v>40</v>
      </c>
    </row>
    <row r="85" spans="1:5" ht="18" hidden="1" x14ac:dyDescent="0.35">
      <c r="A85" s="41">
        <v>1</v>
      </c>
      <c r="B85" s="42" t="s">
        <v>41</v>
      </c>
      <c r="C85" s="43"/>
      <c r="D85" s="44"/>
      <c r="E85" s="12"/>
    </row>
    <row r="86" spans="1:5" ht="18" hidden="1" x14ac:dyDescent="0.35">
      <c r="A86" s="45"/>
      <c r="B86" s="46" t="s">
        <v>42</v>
      </c>
      <c r="C86" s="47">
        <v>16524000</v>
      </c>
      <c r="D86" s="48">
        <v>0</v>
      </c>
      <c r="E86" s="17">
        <f>SUM(C86:D86)</f>
        <v>16524000</v>
      </c>
    </row>
    <row r="87" spans="1:5" ht="18" hidden="1" x14ac:dyDescent="0.35">
      <c r="A87" s="49"/>
      <c r="B87" s="46" t="s">
        <v>43</v>
      </c>
      <c r="C87" s="47">
        <v>245000</v>
      </c>
      <c r="D87" s="48">
        <v>0</v>
      </c>
      <c r="E87" s="17">
        <f t="shared" ref="E87:E96" si="4">SUM(C87:D87)</f>
        <v>245000</v>
      </c>
    </row>
    <row r="88" spans="1:5" ht="18" hidden="1" x14ac:dyDescent="0.35">
      <c r="A88" s="45"/>
      <c r="B88" s="46" t="s">
        <v>44</v>
      </c>
      <c r="C88" s="47">
        <v>2135000</v>
      </c>
      <c r="D88" s="48">
        <v>0</v>
      </c>
      <c r="E88" s="17">
        <f t="shared" si="4"/>
        <v>2135000</v>
      </c>
    </row>
    <row r="89" spans="1:5" ht="18" hidden="1" x14ac:dyDescent="0.35">
      <c r="A89" s="45"/>
      <c r="B89" s="46" t="s">
        <v>45</v>
      </c>
      <c r="C89" s="50"/>
      <c r="D89" s="16">
        <v>461000</v>
      </c>
      <c r="E89" s="17">
        <f t="shared" si="4"/>
        <v>461000</v>
      </c>
    </row>
    <row r="90" spans="1:5" ht="18" hidden="1" x14ac:dyDescent="0.35">
      <c r="A90" s="45"/>
      <c r="B90" s="46" t="s">
        <v>46</v>
      </c>
      <c r="C90" s="48"/>
      <c r="D90" s="16">
        <v>21310750</v>
      </c>
      <c r="E90" s="17">
        <f t="shared" si="4"/>
        <v>21310750</v>
      </c>
    </row>
    <row r="91" spans="1:5" ht="15.6" hidden="1" x14ac:dyDescent="0.3">
      <c r="A91" s="51"/>
      <c r="B91" s="46" t="s">
        <v>47</v>
      </c>
      <c r="C91" s="52">
        <v>412519</v>
      </c>
      <c r="D91" s="16">
        <f>SUM(J91:L91)</f>
        <v>0</v>
      </c>
      <c r="E91" s="17">
        <f t="shared" si="4"/>
        <v>412519</v>
      </c>
    </row>
    <row r="92" spans="1:5" ht="15.6" hidden="1" x14ac:dyDescent="0.3">
      <c r="A92" s="51"/>
      <c r="B92" s="13" t="s">
        <v>48</v>
      </c>
      <c r="C92" s="53">
        <v>937500</v>
      </c>
      <c r="D92" s="16">
        <f>SUM(J92:L92)</f>
        <v>0</v>
      </c>
      <c r="E92" s="17">
        <f t="shared" si="4"/>
        <v>937500</v>
      </c>
    </row>
    <row r="93" spans="1:5" ht="15.6" hidden="1" x14ac:dyDescent="0.3">
      <c r="A93" s="51"/>
      <c r="B93" s="13"/>
      <c r="C93" s="17"/>
      <c r="D93" s="16"/>
      <c r="E93" s="17">
        <f t="shared" si="4"/>
        <v>0</v>
      </c>
    </row>
    <row r="94" spans="1:5" ht="18" hidden="1" x14ac:dyDescent="0.35">
      <c r="A94" s="45"/>
      <c r="B94" s="54" t="s">
        <v>49</v>
      </c>
      <c r="C94" s="55">
        <f>SUM(C86:C93)</f>
        <v>20254019</v>
      </c>
      <c r="D94" s="24">
        <f>SUM(D86:D93)</f>
        <v>21771750</v>
      </c>
      <c r="E94" s="56">
        <f t="shared" si="4"/>
        <v>42025769</v>
      </c>
    </row>
    <row r="95" spans="1:5" ht="18" hidden="1" x14ac:dyDescent="0.35">
      <c r="A95" s="45"/>
      <c r="B95" s="13"/>
      <c r="C95" s="13"/>
      <c r="D95" s="16"/>
      <c r="E95" s="17">
        <f t="shared" si="4"/>
        <v>0</v>
      </c>
    </row>
    <row r="96" spans="1:5" ht="18" hidden="1" x14ac:dyDescent="0.35">
      <c r="A96" s="57">
        <v>2</v>
      </c>
      <c r="B96" s="58" t="s">
        <v>50</v>
      </c>
      <c r="C96" s="59"/>
      <c r="E96" s="17">
        <f t="shared" si="4"/>
        <v>0</v>
      </c>
    </row>
    <row r="97" spans="1:5" ht="18" hidden="1" x14ac:dyDescent="0.35">
      <c r="A97" s="57"/>
      <c r="B97" s="46" t="s">
        <v>67</v>
      </c>
      <c r="C97" s="59"/>
      <c r="E97" s="17"/>
    </row>
    <row r="98" spans="1:5" ht="18" hidden="1" x14ac:dyDescent="0.35">
      <c r="A98" s="45"/>
      <c r="B98" s="46" t="s">
        <v>51</v>
      </c>
      <c r="C98" s="47">
        <v>319150</v>
      </c>
      <c r="D98" s="16"/>
      <c r="E98" s="17">
        <f>SUM(C98:D98)</f>
        <v>319150</v>
      </c>
    </row>
    <row r="99" spans="1:5" ht="18" hidden="1" x14ac:dyDescent="0.35">
      <c r="A99" s="45"/>
      <c r="B99" s="46" t="s">
        <v>65</v>
      </c>
      <c r="C99" s="47"/>
      <c r="D99" s="16">
        <v>163900</v>
      </c>
      <c r="E99" s="17">
        <f>SUM(C99:D99)</f>
        <v>163900</v>
      </c>
    </row>
    <row r="100" spans="1:5" ht="18" hidden="1" x14ac:dyDescent="0.35">
      <c r="A100" s="45"/>
      <c r="B100" s="46" t="s">
        <v>52</v>
      </c>
      <c r="C100" s="65">
        <v>0</v>
      </c>
      <c r="D100" s="16"/>
      <c r="E100" s="17">
        <f t="shared" ref="E100:E112" si="5">SUM(C100:D100)</f>
        <v>0</v>
      </c>
    </row>
    <row r="101" spans="1:5" ht="18" hidden="1" x14ac:dyDescent="0.35">
      <c r="A101" s="45"/>
      <c r="B101" s="46" t="s">
        <v>53</v>
      </c>
      <c r="C101" s="47">
        <v>87166</v>
      </c>
      <c r="D101" s="16"/>
      <c r="E101" s="17">
        <f t="shared" si="5"/>
        <v>87166</v>
      </c>
    </row>
    <row r="102" spans="1:5" ht="18" hidden="1" x14ac:dyDescent="0.35">
      <c r="A102" s="45"/>
      <c r="B102" s="46" t="s">
        <v>54</v>
      </c>
      <c r="C102" s="47">
        <v>202839</v>
      </c>
      <c r="D102" s="16"/>
      <c r="E102" s="17">
        <f t="shared" si="5"/>
        <v>202839</v>
      </c>
    </row>
    <row r="103" spans="1:5" ht="18" hidden="1" x14ac:dyDescent="0.35">
      <c r="A103" s="45"/>
      <c r="B103" s="46" t="s">
        <v>55</v>
      </c>
      <c r="C103" s="47">
        <v>500000</v>
      </c>
      <c r="D103" s="16"/>
      <c r="E103" s="17">
        <f t="shared" si="5"/>
        <v>500000</v>
      </c>
    </row>
    <row r="104" spans="1:5" ht="18" hidden="1" x14ac:dyDescent="0.35">
      <c r="A104" s="45"/>
      <c r="B104" s="46" t="s">
        <v>56</v>
      </c>
      <c r="C104" s="47">
        <v>557888</v>
      </c>
      <c r="D104" s="16"/>
      <c r="E104" s="17">
        <f t="shared" si="5"/>
        <v>557888</v>
      </c>
    </row>
    <row r="105" spans="1:5" ht="18" hidden="1" x14ac:dyDescent="0.35">
      <c r="A105" s="45"/>
      <c r="B105" s="46" t="s">
        <v>57</v>
      </c>
      <c r="C105" s="47">
        <v>606000</v>
      </c>
      <c r="D105" s="16"/>
      <c r="E105" s="17">
        <f t="shared" si="5"/>
        <v>606000</v>
      </c>
    </row>
    <row r="106" spans="1:5" ht="18" hidden="1" x14ac:dyDescent="0.35">
      <c r="A106" s="45"/>
      <c r="B106" s="46" t="s">
        <v>58</v>
      </c>
      <c r="C106" s="59">
        <v>469000</v>
      </c>
      <c r="D106" s="16"/>
      <c r="E106" s="17">
        <f t="shared" si="5"/>
        <v>469000</v>
      </c>
    </row>
    <row r="107" spans="1:5" ht="18" hidden="1" x14ac:dyDescent="0.35">
      <c r="A107" s="45"/>
      <c r="B107" s="46" t="s">
        <v>59</v>
      </c>
      <c r="C107" s="59">
        <v>0</v>
      </c>
      <c r="D107" s="16">
        <v>0</v>
      </c>
      <c r="E107" s="17">
        <f t="shared" si="5"/>
        <v>0</v>
      </c>
    </row>
    <row r="108" spans="1:5" ht="18" hidden="1" x14ac:dyDescent="0.35">
      <c r="A108" s="45"/>
      <c r="B108" s="46" t="s">
        <v>60</v>
      </c>
      <c r="C108" s="59"/>
      <c r="D108" s="16">
        <v>18544871</v>
      </c>
      <c r="E108" s="17">
        <f t="shared" si="5"/>
        <v>18544871</v>
      </c>
    </row>
    <row r="109" spans="1:5" ht="18" hidden="1" x14ac:dyDescent="0.35">
      <c r="A109" s="45"/>
      <c r="B109" s="46" t="s">
        <v>66</v>
      </c>
      <c r="C109" s="60"/>
      <c r="D109" s="16">
        <v>1516000</v>
      </c>
      <c r="E109" s="17">
        <f t="shared" si="5"/>
        <v>1516000</v>
      </c>
    </row>
    <row r="110" spans="1:5" ht="18" hidden="1" x14ac:dyDescent="0.35">
      <c r="A110" s="49"/>
      <c r="B110" s="46" t="s">
        <v>61</v>
      </c>
      <c r="C110" s="60">
        <v>750000</v>
      </c>
      <c r="D110" s="16"/>
      <c r="E110" s="17">
        <f t="shared" si="5"/>
        <v>750000</v>
      </c>
    </row>
    <row r="111" spans="1:5" ht="15.6" hidden="1" x14ac:dyDescent="0.3">
      <c r="A111" s="51"/>
      <c r="B111" s="46" t="s">
        <v>68</v>
      </c>
      <c r="C111" s="60">
        <v>0</v>
      </c>
      <c r="D111" s="16"/>
      <c r="E111" s="17">
        <f t="shared" si="5"/>
        <v>0</v>
      </c>
    </row>
    <row r="112" spans="1:5" ht="15.6" hidden="1" x14ac:dyDescent="0.3">
      <c r="A112" s="51"/>
      <c r="B112" s="13" t="s">
        <v>69</v>
      </c>
      <c r="C112" s="13">
        <v>0</v>
      </c>
      <c r="D112" s="16"/>
      <c r="E112" s="17">
        <f t="shared" si="5"/>
        <v>0</v>
      </c>
    </row>
    <row r="113" spans="1:5" ht="15.6" hidden="1" x14ac:dyDescent="0.3">
      <c r="A113" s="61"/>
      <c r="B113" s="13"/>
      <c r="C113" s="13"/>
      <c r="D113" s="16"/>
      <c r="E113" s="17"/>
    </row>
    <row r="114" spans="1:5" ht="18" hidden="1" x14ac:dyDescent="0.35">
      <c r="A114" s="45">
        <v>3</v>
      </c>
      <c r="B114" s="54" t="s">
        <v>63</v>
      </c>
      <c r="C114" s="55">
        <f>SUM(C98:C113)</f>
        <v>3492043</v>
      </c>
      <c r="D114" s="24">
        <f>SUM(D98:D113)</f>
        <v>20224771</v>
      </c>
      <c r="E114" s="56">
        <f>SUM(E95:E113)</f>
        <v>23716814</v>
      </c>
    </row>
    <row r="115" spans="1:5" ht="18" hidden="1" x14ac:dyDescent="0.35">
      <c r="A115" s="49"/>
      <c r="B115" s="13"/>
      <c r="C115" s="13"/>
      <c r="D115" s="16"/>
      <c r="E115" s="17">
        <f t="shared" ref="E115:E116" si="6">SUM(C115:D115)</f>
        <v>0</v>
      </c>
    </row>
    <row r="116" spans="1:5" ht="18" hidden="1" x14ac:dyDescent="0.35">
      <c r="A116" s="62"/>
      <c r="B116" s="63" t="s">
        <v>64</v>
      </c>
      <c r="C116" s="64">
        <f>C94-C114</f>
        <v>16761976</v>
      </c>
      <c r="D116" s="64">
        <f>D94-D114</f>
        <v>1546979</v>
      </c>
      <c r="E116" s="29">
        <f t="shared" si="6"/>
        <v>18308955</v>
      </c>
    </row>
    <row r="117" spans="1:5" hidden="1" x14ac:dyDescent="0.3"/>
    <row r="118" spans="1:5" hidden="1" x14ac:dyDescent="0.3"/>
    <row r="119" spans="1:5" hidden="1" x14ac:dyDescent="0.3"/>
    <row r="120" spans="1:5" ht="18" hidden="1" x14ac:dyDescent="0.35">
      <c r="A120" s="31" t="s">
        <v>81</v>
      </c>
      <c r="B120" s="32"/>
      <c r="C120" s="33"/>
      <c r="D120" s="2"/>
      <c r="E120" s="2"/>
    </row>
    <row r="121" spans="1:5" ht="18" hidden="1" x14ac:dyDescent="0.35">
      <c r="A121" s="34"/>
      <c r="B121" s="33"/>
      <c r="C121" s="33"/>
      <c r="D121" s="2"/>
      <c r="E121" s="2"/>
    </row>
    <row r="122" spans="1:5" ht="18" hidden="1" x14ac:dyDescent="0.35">
      <c r="A122" s="35" t="s">
        <v>36</v>
      </c>
      <c r="B122" s="36" t="s">
        <v>1</v>
      </c>
      <c r="C122" s="37" t="s">
        <v>37</v>
      </c>
      <c r="D122" s="7" t="s">
        <v>38</v>
      </c>
      <c r="E122" s="36" t="s">
        <v>37</v>
      </c>
    </row>
    <row r="123" spans="1:5" ht="18" hidden="1" x14ac:dyDescent="0.35">
      <c r="A123" s="38"/>
      <c r="B123" s="39"/>
      <c r="C123" s="40"/>
      <c r="D123" s="10" t="s">
        <v>39</v>
      </c>
      <c r="E123" s="10" t="s">
        <v>40</v>
      </c>
    </row>
    <row r="124" spans="1:5" ht="18" hidden="1" x14ac:dyDescent="0.35">
      <c r="A124" s="41">
        <v>1</v>
      </c>
      <c r="B124" s="42" t="s">
        <v>41</v>
      </c>
      <c r="C124" s="43"/>
      <c r="D124" s="44"/>
      <c r="E124" s="12"/>
    </row>
    <row r="125" spans="1:5" ht="18" hidden="1" x14ac:dyDescent="0.35">
      <c r="A125" s="45"/>
      <c r="B125" s="46" t="s">
        <v>42</v>
      </c>
      <c r="C125" s="47">
        <v>16375000</v>
      </c>
      <c r="D125" s="48">
        <v>0</v>
      </c>
      <c r="E125" s="17">
        <f>SUM(C125:D125)</f>
        <v>16375000</v>
      </c>
    </row>
    <row r="126" spans="1:5" ht="18" hidden="1" x14ac:dyDescent="0.35">
      <c r="A126" s="49"/>
      <c r="B126" s="46" t="s">
        <v>43</v>
      </c>
      <c r="C126" s="47">
        <v>250000</v>
      </c>
      <c r="D126" s="48">
        <v>0</v>
      </c>
      <c r="E126" s="17">
        <f t="shared" ref="E126:E135" si="7">SUM(C126:D126)</f>
        <v>250000</v>
      </c>
    </row>
    <row r="127" spans="1:5" ht="18" hidden="1" x14ac:dyDescent="0.35">
      <c r="A127" s="45"/>
      <c r="B127" s="46" t="s">
        <v>44</v>
      </c>
      <c r="C127" s="47">
        <v>2480000</v>
      </c>
      <c r="D127" s="48">
        <v>0</v>
      </c>
      <c r="E127" s="17">
        <f t="shared" si="7"/>
        <v>2480000</v>
      </c>
    </row>
    <row r="128" spans="1:5" ht="18" hidden="1" x14ac:dyDescent="0.35">
      <c r="A128" s="45"/>
      <c r="B128" s="46" t="s">
        <v>45</v>
      </c>
      <c r="C128" s="50"/>
      <c r="D128" s="16">
        <v>447000</v>
      </c>
      <c r="E128" s="17">
        <f t="shared" si="7"/>
        <v>447000</v>
      </c>
    </row>
    <row r="129" spans="1:5" ht="18" hidden="1" x14ac:dyDescent="0.35">
      <c r="A129" s="45"/>
      <c r="B129" s="46" t="s">
        <v>46</v>
      </c>
      <c r="C129" s="48"/>
      <c r="D129" s="16">
        <v>34968300</v>
      </c>
      <c r="E129" s="17">
        <f t="shared" si="7"/>
        <v>34968300</v>
      </c>
    </row>
    <row r="130" spans="1:5" ht="15.6" hidden="1" x14ac:dyDescent="0.3">
      <c r="A130" s="51"/>
      <c r="B130" s="46" t="s">
        <v>47</v>
      </c>
      <c r="C130" s="52">
        <v>432480</v>
      </c>
      <c r="D130" s="16">
        <f>SUM(J130:L130)</f>
        <v>0</v>
      </c>
      <c r="E130" s="17">
        <f t="shared" si="7"/>
        <v>432480</v>
      </c>
    </row>
    <row r="131" spans="1:5" ht="15.6" hidden="1" x14ac:dyDescent="0.3">
      <c r="A131" s="51"/>
      <c r="B131" s="13" t="s">
        <v>48</v>
      </c>
      <c r="C131" s="53">
        <v>999999</v>
      </c>
      <c r="D131" s="16">
        <f>SUM(J131:L131)</f>
        <v>0</v>
      </c>
      <c r="E131" s="17">
        <f t="shared" si="7"/>
        <v>999999</v>
      </c>
    </row>
    <row r="132" spans="1:5" ht="15.6" hidden="1" x14ac:dyDescent="0.3">
      <c r="A132" s="51"/>
      <c r="B132" s="13"/>
      <c r="C132" s="17"/>
      <c r="D132" s="16"/>
      <c r="E132" s="17">
        <f t="shared" si="7"/>
        <v>0</v>
      </c>
    </row>
    <row r="133" spans="1:5" ht="18" hidden="1" x14ac:dyDescent="0.35">
      <c r="A133" s="45"/>
      <c r="B133" s="54" t="s">
        <v>49</v>
      </c>
      <c r="C133" s="55">
        <f>SUM(C125:C132)</f>
        <v>20537479</v>
      </c>
      <c r="D133" s="24">
        <f>SUM(D125:D132)</f>
        <v>35415300</v>
      </c>
      <c r="E133" s="56">
        <f t="shared" si="7"/>
        <v>55952779</v>
      </c>
    </row>
    <row r="134" spans="1:5" ht="18" hidden="1" x14ac:dyDescent="0.35">
      <c r="A134" s="45"/>
      <c r="B134" s="13"/>
      <c r="C134" s="13"/>
      <c r="D134" s="16"/>
      <c r="E134" s="17">
        <f t="shared" si="7"/>
        <v>0</v>
      </c>
    </row>
    <row r="135" spans="1:5" ht="18" hidden="1" x14ac:dyDescent="0.35">
      <c r="A135" s="57">
        <v>2</v>
      </c>
      <c r="B135" s="58" t="s">
        <v>50</v>
      </c>
      <c r="C135" s="59"/>
      <c r="E135" s="17">
        <f t="shared" si="7"/>
        <v>0</v>
      </c>
    </row>
    <row r="136" spans="1:5" ht="18" hidden="1" x14ac:dyDescent="0.35">
      <c r="A136" s="57"/>
      <c r="B136" s="46" t="s">
        <v>67</v>
      </c>
      <c r="C136" s="59"/>
      <c r="E136" s="17"/>
    </row>
    <row r="137" spans="1:5" ht="18" hidden="1" x14ac:dyDescent="0.35">
      <c r="A137" s="45"/>
      <c r="B137" s="46" t="s">
        <v>83</v>
      </c>
      <c r="C137" s="47">
        <v>407500</v>
      </c>
      <c r="D137" s="16">
        <v>255000</v>
      </c>
      <c r="E137" s="17">
        <f>SUM(C137:D137)</f>
        <v>662500</v>
      </c>
    </row>
    <row r="138" spans="1:5" ht="18" hidden="1" x14ac:dyDescent="0.35">
      <c r="A138" s="45"/>
      <c r="B138" s="46" t="s">
        <v>52</v>
      </c>
      <c r="C138" s="65">
        <v>0</v>
      </c>
      <c r="D138" s="16"/>
      <c r="E138" s="17">
        <f t="shared" ref="E138:E149" si="8">SUM(C138:D138)</f>
        <v>0</v>
      </c>
    </row>
    <row r="139" spans="1:5" ht="18" hidden="1" x14ac:dyDescent="0.35">
      <c r="A139" s="45"/>
      <c r="B139" s="46" t="s">
        <v>53</v>
      </c>
      <c r="C139" s="47">
        <v>21000</v>
      </c>
      <c r="D139" s="16"/>
      <c r="E139" s="17">
        <f t="shared" si="8"/>
        <v>21000</v>
      </c>
    </row>
    <row r="140" spans="1:5" ht="18" hidden="1" x14ac:dyDescent="0.35">
      <c r="A140" s="45"/>
      <c r="B140" s="46" t="s">
        <v>54</v>
      </c>
      <c r="C140" s="47">
        <v>286497</v>
      </c>
      <c r="D140" s="16"/>
      <c r="E140" s="17">
        <f t="shared" si="8"/>
        <v>286497</v>
      </c>
    </row>
    <row r="141" spans="1:5" ht="18" hidden="1" x14ac:dyDescent="0.35">
      <c r="A141" s="45"/>
      <c r="B141" s="46" t="s">
        <v>55</v>
      </c>
      <c r="C141" s="47">
        <v>0</v>
      </c>
      <c r="D141" s="16"/>
      <c r="E141" s="17">
        <f t="shared" si="8"/>
        <v>0</v>
      </c>
    </row>
    <row r="142" spans="1:5" ht="18" hidden="1" x14ac:dyDescent="0.35">
      <c r="A142" s="45"/>
      <c r="B142" s="46" t="s">
        <v>56</v>
      </c>
      <c r="C142" s="47">
        <v>557888</v>
      </c>
      <c r="D142" s="16"/>
      <c r="E142" s="17">
        <f t="shared" si="8"/>
        <v>557888</v>
      </c>
    </row>
    <row r="143" spans="1:5" ht="18" hidden="1" x14ac:dyDescent="0.35">
      <c r="A143" s="45"/>
      <c r="B143" s="46" t="s">
        <v>57</v>
      </c>
      <c r="C143" s="47">
        <v>590500</v>
      </c>
      <c r="D143" s="16"/>
      <c r="E143" s="17">
        <f t="shared" si="8"/>
        <v>590500</v>
      </c>
    </row>
    <row r="144" spans="1:5" ht="18" hidden="1" x14ac:dyDescent="0.35">
      <c r="A144" s="45"/>
      <c r="B144" s="46" t="s">
        <v>58</v>
      </c>
      <c r="C144" s="59">
        <v>0</v>
      </c>
      <c r="D144" s="16"/>
      <c r="E144" s="17">
        <f t="shared" si="8"/>
        <v>0</v>
      </c>
    </row>
    <row r="145" spans="1:5" ht="18" hidden="1" x14ac:dyDescent="0.35">
      <c r="A145" s="45"/>
      <c r="B145" s="46" t="s">
        <v>59</v>
      </c>
      <c r="C145" s="59">
        <v>0</v>
      </c>
      <c r="D145" s="16">
        <v>0</v>
      </c>
      <c r="E145" s="17">
        <f t="shared" si="8"/>
        <v>0</v>
      </c>
    </row>
    <row r="146" spans="1:5" ht="18" hidden="1" x14ac:dyDescent="0.35">
      <c r="A146" s="45"/>
      <c r="B146" s="46" t="s">
        <v>60</v>
      </c>
      <c r="C146" s="59"/>
      <c r="D146" s="16">
        <v>30991251</v>
      </c>
      <c r="E146" s="17">
        <f t="shared" si="8"/>
        <v>30991251</v>
      </c>
    </row>
    <row r="147" spans="1:5" ht="18" hidden="1" x14ac:dyDescent="0.35">
      <c r="A147" s="49"/>
      <c r="B147" s="46" t="s">
        <v>61</v>
      </c>
      <c r="C147" s="60">
        <v>750000</v>
      </c>
      <c r="D147" s="16">
        <v>1518000</v>
      </c>
      <c r="E147" s="17">
        <f t="shared" si="8"/>
        <v>2268000</v>
      </c>
    </row>
    <row r="148" spans="1:5" ht="15.6" hidden="1" x14ac:dyDescent="0.3">
      <c r="A148" s="51"/>
      <c r="B148" s="46" t="s">
        <v>68</v>
      </c>
      <c r="C148" s="60">
        <v>0</v>
      </c>
      <c r="D148" s="16"/>
      <c r="E148" s="17">
        <f t="shared" si="8"/>
        <v>0</v>
      </c>
    </row>
    <row r="149" spans="1:5" ht="15.6" hidden="1" x14ac:dyDescent="0.3">
      <c r="A149" s="51"/>
      <c r="B149" s="13" t="s">
        <v>69</v>
      </c>
      <c r="C149" s="13">
        <v>0</v>
      </c>
      <c r="D149" s="16"/>
      <c r="E149" s="17">
        <f t="shared" si="8"/>
        <v>0</v>
      </c>
    </row>
    <row r="150" spans="1:5" ht="15.6" hidden="1" x14ac:dyDescent="0.3">
      <c r="A150" s="61"/>
      <c r="B150" s="13"/>
      <c r="C150" s="13"/>
      <c r="D150" s="16"/>
      <c r="E150" s="17"/>
    </row>
    <row r="151" spans="1:5" ht="18" hidden="1" x14ac:dyDescent="0.35">
      <c r="A151" s="45">
        <v>3</v>
      </c>
      <c r="B151" s="54" t="s">
        <v>63</v>
      </c>
      <c r="C151" s="55">
        <f>SUM(C137:C150)</f>
        <v>2613385</v>
      </c>
      <c r="D151" s="24">
        <f>SUM(D137:D150)</f>
        <v>32764251</v>
      </c>
      <c r="E151" s="56">
        <f>SUM(E134:E150)</f>
        <v>35377636</v>
      </c>
    </row>
    <row r="152" spans="1:5" ht="18" hidden="1" x14ac:dyDescent="0.35">
      <c r="A152" s="49"/>
      <c r="B152" s="13"/>
      <c r="C152" s="13"/>
      <c r="D152" s="16"/>
      <c r="E152" s="17">
        <f t="shared" ref="E152:E153" si="9">SUM(C152:D152)</f>
        <v>0</v>
      </c>
    </row>
    <row r="153" spans="1:5" ht="18" hidden="1" x14ac:dyDescent="0.35">
      <c r="A153" s="62"/>
      <c r="B153" s="63" t="s">
        <v>64</v>
      </c>
      <c r="C153" s="64">
        <f>C133-C151</f>
        <v>17924094</v>
      </c>
      <c r="D153" s="64">
        <f>D133-D151</f>
        <v>2651049</v>
      </c>
      <c r="E153" s="29">
        <f t="shared" si="9"/>
        <v>20575143</v>
      </c>
    </row>
    <row r="154" spans="1:5" hidden="1" x14ac:dyDescent="0.3"/>
    <row r="155" spans="1:5" hidden="1" x14ac:dyDescent="0.3"/>
    <row r="156" spans="1:5" hidden="1" x14ac:dyDescent="0.3"/>
    <row r="157" spans="1:5" ht="18" hidden="1" x14ac:dyDescent="0.35">
      <c r="A157" s="31" t="s">
        <v>82</v>
      </c>
      <c r="B157" s="32"/>
      <c r="C157" s="33"/>
      <c r="D157" s="2"/>
      <c r="E157" s="2"/>
    </row>
    <row r="158" spans="1:5" ht="18" hidden="1" x14ac:dyDescent="0.35">
      <c r="A158" s="34"/>
      <c r="B158" s="33"/>
      <c r="C158" s="33"/>
      <c r="D158" s="2"/>
      <c r="E158" s="2"/>
    </row>
    <row r="159" spans="1:5" ht="18" hidden="1" x14ac:dyDescent="0.35">
      <c r="A159" s="35" t="s">
        <v>36</v>
      </c>
      <c r="B159" s="36" t="s">
        <v>1</v>
      </c>
      <c r="C159" s="37" t="s">
        <v>37</v>
      </c>
      <c r="D159" s="7" t="s">
        <v>38</v>
      </c>
      <c r="E159" s="36" t="s">
        <v>37</v>
      </c>
    </row>
    <row r="160" spans="1:5" ht="18" hidden="1" x14ac:dyDescent="0.35">
      <c r="A160" s="38"/>
      <c r="B160" s="39"/>
      <c r="C160" s="40"/>
      <c r="D160" s="10" t="s">
        <v>39</v>
      </c>
      <c r="E160" s="10" t="s">
        <v>40</v>
      </c>
    </row>
    <row r="161" spans="1:5" ht="18" hidden="1" x14ac:dyDescent="0.35">
      <c r="A161" s="41">
        <v>1</v>
      </c>
      <c r="B161" s="42" t="s">
        <v>41</v>
      </c>
      <c r="C161" s="43"/>
      <c r="D161" s="44"/>
      <c r="E161" s="12"/>
    </row>
    <row r="162" spans="1:5" ht="18" hidden="1" x14ac:dyDescent="0.35">
      <c r="A162" s="45"/>
      <c r="B162" s="46" t="s">
        <v>42</v>
      </c>
      <c r="C162" s="47"/>
      <c r="D162" s="48"/>
      <c r="E162" s="17">
        <f>SUM(C162:D162)</f>
        <v>0</v>
      </c>
    </row>
    <row r="163" spans="1:5" ht="18" hidden="1" x14ac:dyDescent="0.35">
      <c r="A163" s="49"/>
      <c r="B163" s="46" t="s">
        <v>43</v>
      </c>
      <c r="C163" s="47"/>
      <c r="D163" s="48"/>
      <c r="E163" s="17">
        <f t="shared" ref="E163:E172" si="10">SUM(C163:D163)</f>
        <v>0</v>
      </c>
    </row>
    <row r="164" spans="1:5" ht="18" hidden="1" x14ac:dyDescent="0.35">
      <c r="A164" s="45"/>
      <c r="B164" s="46" t="s">
        <v>44</v>
      </c>
      <c r="C164" s="47"/>
      <c r="D164" s="48"/>
      <c r="E164" s="17">
        <f t="shared" si="10"/>
        <v>0</v>
      </c>
    </row>
    <row r="165" spans="1:5" ht="18" hidden="1" x14ac:dyDescent="0.35">
      <c r="A165" s="45"/>
      <c r="B165" s="46" t="s">
        <v>45</v>
      </c>
      <c r="C165" s="47"/>
      <c r="D165" s="16"/>
      <c r="E165" s="17">
        <f t="shared" si="10"/>
        <v>0</v>
      </c>
    </row>
    <row r="166" spans="1:5" ht="18" hidden="1" x14ac:dyDescent="0.35">
      <c r="A166" s="45"/>
      <c r="B166" s="46" t="s">
        <v>46</v>
      </c>
      <c r="C166" s="47"/>
      <c r="D166" s="16"/>
      <c r="E166" s="17">
        <f t="shared" si="10"/>
        <v>0</v>
      </c>
    </row>
    <row r="167" spans="1:5" ht="15.6" hidden="1" x14ac:dyDescent="0.3">
      <c r="A167" s="51"/>
      <c r="B167" s="46" t="s">
        <v>47</v>
      </c>
      <c r="C167" s="47"/>
      <c r="D167" s="16"/>
      <c r="E167" s="17">
        <f t="shared" si="10"/>
        <v>0</v>
      </c>
    </row>
    <row r="168" spans="1:5" ht="15.6" hidden="1" x14ac:dyDescent="0.3">
      <c r="A168" s="51"/>
      <c r="B168" s="13" t="s">
        <v>48</v>
      </c>
      <c r="C168" s="47"/>
      <c r="D168" s="16"/>
      <c r="E168" s="17">
        <f t="shared" si="10"/>
        <v>0</v>
      </c>
    </row>
    <row r="169" spans="1:5" ht="15.6" hidden="1" x14ac:dyDescent="0.3">
      <c r="A169" s="51"/>
      <c r="B169" s="13"/>
      <c r="C169" s="17"/>
      <c r="D169" s="16"/>
      <c r="E169" s="17">
        <f t="shared" si="10"/>
        <v>0</v>
      </c>
    </row>
    <row r="170" spans="1:5" ht="18" hidden="1" x14ac:dyDescent="0.35">
      <c r="A170" s="45"/>
      <c r="B170" s="54" t="s">
        <v>49</v>
      </c>
      <c r="C170" s="55">
        <f>SUM(C162:C169)</f>
        <v>0</v>
      </c>
      <c r="D170" s="24">
        <f>SUM(D162:D169)</f>
        <v>0</v>
      </c>
      <c r="E170" s="56">
        <f t="shared" si="10"/>
        <v>0</v>
      </c>
    </row>
    <row r="171" spans="1:5" ht="18" hidden="1" x14ac:dyDescent="0.35">
      <c r="A171" s="45"/>
      <c r="B171" s="13"/>
      <c r="C171" s="13"/>
      <c r="D171" s="16"/>
      <c r="E171" s="17">
        <f t="shared" si="10"/>
        <v>0</v>
      </c>
    </row>
    <row r="172" spans="1:5" ht="18" hidden="1" x14ac:dyDescent="0.35">
      <c r="A172" s="57">
        <v>2</v>
      </c>
      <c r="B172" s="58" t="s">
        <v>50</v>
      </c>
      <c r="C172" s="59"/>
      <c r="E172" s="17">
        <f t="shared" si="10"/>
        <v>0</v>
      </c>
    </row>
    <row r="173" spans="1:5" ht="18" hidden="1" x14ac:dyDescent="0.35">
      <c r="A173" s="57"/>
      <c r="B173" s="46" t="s">
        <v>67</v>
      </c>
      <c r="C173" s="59"/>
      <c r="E173" s="17"/>
    </row>
    <row r="174" spans="1:5" ht="18" hidden="1" x14ac:dyDescent="0.35">
      <c r="A174" s="45"/>
      <c r="B174" s="46" t="s">
        <v>51</v>
      </c>
      <c r="C174" s="47"/>
      <c r="D174" s="16"/>
      <c r="E174" s="17">
        <f>SUM(C174:D174)</f>
        <v>0</v>
      </c>
    </row>
    <row r="175" spans="1:5" ht="18" hidden="1" x14ac:dyDescent="0.35">
      <c r="A175" s="45"/>
      <c r="B175" s="46" t="s">
        <v>65</v>
      </c>
      <c r="C175" s="47"/>
      <c r="D175" s="16"/>
      <c r="E175" s="17">
        <f>SUM(C175:D175)</f>
        <v>0</v>
      </c>
    </row>
    <row r="176" spans="1:5" ht="18" hidden="1" x14ac:dyDescent="0.35">
      <c r="A176" s="45"/>
      <c r="B176" s="46" t="s">
        <v>52</v>
      </c>
      <c r="C176" s="47"/>
      <c r="D176" s="16"/>
      <c r="E176" s="17">
        <f t="shared" ref="E176:E188" si="11">SUM(C176:D176)</f>
        <v>0</v>
      </c>
    </row>
    <row r="177" spans="1:5" ht="18" hidden="1" x14ac:dyDescent="0.35">
      <c r="A177" s="45"/>
      <c r="B177" s="46" t="s">
        <v>53</v>
      </c>
      <c r="C177" s="47"/>
      <c r="D177" s="16"/>
      <c r="E177" s="17">
        <f t="shared" si="11"/>
        <v>0</v>
      </c>
    </row>
    <row r="178" spans="1:5" ht="18" hidden="1" x14ac:dyDescent="0.35">
      <c r="A178" s="45"/>
      <c r="B178" s="46" t="s">
        <v>54</v>
      </c>
      <c r="C178" s="47"/>
      <c r="D178" s="16"/>
      <c r="E178" s="17">
        <f t="shared" si="11"/>
        <v>0</v>
      </c>
    </row>
    <row r="179" spans="1:5" ht="18" hidden="1" x14ac:dyDescent="0.35">
      <c r="A179" s="45"/>
      <c r="B179" s="46" t="s">
        <v>55</v>
      </c>
      <c r="C179" s="47"/>
      <c r="D179" s="16"/>
      <c r="E179" s="17">
        <f t="shared" si="11"/>
        <v>0</v>
      </c>
    </row>
    <row r="180" spans="1:5" ht="18" hidden="1" x14ac:dyDescent="0.35">
      <c r="A180" s="45"/>
      <c r="B180" s="46" t="s">
        <v>56</v>
      </c>
      <c r="C180" s="47"/>
      <c r="D180" s="16"/>
      <c r="E180" s="17">
        <f t="shared" si="11"/>
        <v>0</v>
      </c>
    </row>
    <row r="181" spans="1:5" ht="18" hidden="1" x14ac:dyDescent="0.35">
      <c r="A181" s="45"/>
      <c r="B181" s="46" t="s">
        <v>57</v>
      </c>
      <c r="C181" s="47"/>
      <c r="D181" s="16"/>
      <c r="E181" s="17">
        <f t="shared" si="11"/>
        <v>0</v>
      </c>
    </row>
    <row r="182" spans="1:5" ht="18" hidden="1" x14ac:dyDescent="0.35">
      <c r="A182" s="45"/>
      <c r="B182" s="46" t="s">
        <v>58</v>
      </c>
      <c r="C182" s="47"/>
      <c r="D182" s="16"/>
      <c r="E182" s="17">
        <f t="shared" si="11"/>
        <v>0</v>
      </c>
    </row>
    <row r="183" spans="1:5" ht="18" hidden="1" x14ac:dyDescent="0.35">
      <c r="A183" s="45"/>
      <c r="B183" s="46" t="s">
        <v>59</v>
      </c>
      <c r="C183" s="47"/>
      <c r="D183" s="16"/>
      <c r="E183" s="17">
        <f t="shared" si="11"/>
        <v>0</v>
      </c>
    </row>
    <row r="184" spans="1:5" ht="18" hidden="1" x14ac:dyDescent="0.35">
      <c r="A184" s="45"/>
      <c r="B184" s="46" t="s">
        <v>60</v>
      </c>
      <c r="C184" s="47"/>
      <c r="D184" s="16"/>
      <c r="E184" s="17">
        <f t="shared" si="11"/>
        <v>0</v>
      </c>
    </row>
    <row r="185" spans="1:5" ht="18" hidden="1" x14ac:dyDescent="0.35">
      <c r="A185" s="45"/>
      <c r="B185" s="46" t="s">
        <v>66</v>
      </c>
      <c r="C185" s="47"/>
      <c r="D185" s="16"/>
      <c r="E185" s="17">
        <f t="shared" si="11"/>
        <v>0</v>
      </c>
    </row>
    <row r="186" spans="1:5" ht="18" hidden="1" x14ac:dyDescent="0.35">
      <c r="A186" s="49"/>
      <c r="B186" s="46" t="s">
        <v>61</v>
      </c>
      <c r="C186" s="47"/>
      <c r="D186" s="16"/>
      <c r="E186" s="17">
        <f t="shared" si="11"/>
        <v>0</v>
      </c>
    </row>
    <row r="187" spans="1:5" ht="15.6" hidden="1" x14ac:dyDescent="0.3">
      <c r="A187" s="51"/>
      <c r="B187" s="46" t="s">
        <v>68</v>
      </c>
      <c r="C187" s="47"/>
      <c r="D187" s="16"/>
      <c r="E187" s="17">
        <f t="shared" si="11"/>
        <v>0</v>
      </c>
    </row>
    <row r="188" spans="1:5" ht="15.6" hidden="1" x14ac:dyDescent="0.3">
      <c r="A188" s="51"/>
      <c r="B188" s="13" t="s">
        <v>69</v>
      </c>
      <c r="C188" s="47"/>
      <c r="D188" s="16"/>
      <c r="E188" s="17">
        <f t="shared" si="11"/>
        <v>0</v>
      </c>
    </row>
    <row r="189" spans="1:5" ht="15.6" hidden="1" x14ac:dyDescent="0.3">
      <c r="A189" s="61"/>
      <c r="B189" s="13"/>
      <c r="C189" s="13"/>
      <c r="D189" s="16"/>
      <c r="E189" s="17"/>
    </row>
    <row r="190" spans="1:5" ht="18" hidden="1" x14ac:dyDescent="0.35">
      <c r="A190" s="45">
        <v>3</v>
      </c>
      <c r="B190" s="54" t="s">
        <v>63</v>
      </c>
      <c r="C190" s="55">
        <f>SUM(C174:C189)</f>
        <v>0</v>
      </c>
      <c r="D190" s="24">
        <f>SUM(D174:D189)</f>
        <v>0</v>
      </c>
      <c r="E190" s="56">
        <f>SUM(E171:E189)</f>
        <v>0</v>
      </c>
    </row>
    <row r="191" spans="1:5" ht="18" hidden="1" x14ac:dyDescent="0.35">
      <c r="A191" s="49"/>
      <c r="B191" s="13"/>
      <c r="C191" s="13"/>
      <c r="D191" s="16"/>
      <c r="E191" s="17">
        <f t="shared" ref="E191:E192" si="12">SUM(C191:D191)</f>
        <v>0</v>
      </c>
    </row>
    <row r="192" spans="1:5" ht="18" hidden="1" x14ac:dyDescent="0.35">
      <c r="A192" s="62"/>
      <c r="B192" s="63" t="s">
        <v>64</v>
      </c>
      <c r="C192" s="64">
        <f>C170-C190</f>
        <v>0</v>
      </c>
      <c r="D192" s="64">
        <f>D170-D190</f>
        <v>0</v>
      </c>
      <c r="E192" s="29">
        <f t="shared" si="12"/>
        <v>0</v>
      </c>
    </row>
    <row r="193" spans="2:5" hidden="1" x14ac:dyDescent="0.3"/>
    <row r="194" spans="2:5" hidden="1" x14ac:dyDescent="0.3"/>
    <row r="195" spans="2:5" hidden="1" x14ac:dyDescent="0.3"/>
    <row r="196" spans="2:5" hidden="1" x14ac:dyDescent="0.3"/>
    <row r="197" spans="2:5" hidden="1" x14ac:dyDescent="0.3"/>
    <row r="198" spans="2:5" hidden="1" x14ac:dyDescent="0.3"/>
    <row r="199" spans="2:5" hidden="1" x14ac:dyDescent="0.3">
      <c r="B199" t="s">
        <v>91</v>
      </c>
      <c r="C199" t="s">
        <v>89</v>
      </c>
      <c r="E199" t="s">
        <v>90</v>
      </c>
    </row>
    <row r="200" spans="2:5" hidden="1" x14ac:dyDescent="0.3"/>
  </sheetData>
  <mergeCells count="2">
    <mergeCell ref="B36:E36"/>
    <mergeCell ref="B37:E37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NERACA</vt:lpstr>
      <vt:lpstr>RUGI LABA</vt:lpstr>
      <vt:lpstr>NERACA!Print_Area</vt:lpstr>
      <vt:lpstr>'RUGI LABA'!Print_Area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OLOS</dc:creator>
  <cp:lastModifiedBy>soeratno soeratno</cp:lastModifiedBy>
  <cp:lastPrinted>2026-02-05T06:00:48Z</cp:lastPrinted>
  <dcterms:created xsi:type="dcterms:W3CDTF">2024-04-30T04:54:40Z</dcterms:created>
  <dcterms:modified xsi:type="dcterms:W3CDTF">2026-05-17T06:28:59Z</dcterms:modified>
</cp:coreProperties>
</file>