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 FREELANCE\BU DINA\YANG DIBUAT SISTEM\"/>
    </mc:Choice>
  </mc:AlternateContent>
  <xr:revisionPtr revIDLastSave="0" documentId="13_ncr:1_{5AF7CFF0-3FC3-49C0-A553-FA990B093B5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raca" sheetId="1" r:id="rId1"/>
    <sheet name="Rugi Laba" sheetId="2" r:id="rId2"/>
    <sheet name="SHU" sheetId="3" r:id="rId3"/>
    <sheet name="SHU Simpanan" sheetId="4" r:id="rId4"/>
    <sheet name="SHU Pinjaman" sheetId="5" r:id="rId5"/>
    <sheet name="NERACA PAJAK" sheetId="7" r:id="rId6"/>
    <sheet name="RUGI LABA PAJAK" sheetId="8" r:id="rId7"/>
  </sheets>
  <definedNames>
    <definedName name="_xlnm.Print_Area" localSheetId="0">Neraca!$A$62:$D$102</definedName>
    <definedName name="_xlnm.Print_Area" localSheetId="1">'Rugi Laba'!$A$56:$D$89</definedName>
    <definedName name="_xlnm.Print_Area" localSheetId="3">'SHU Simpanan'!$A$1:$H$299</definedName>
    <definedName name="_xlnm.Print_Titles" localSheetId="3">'SHU Simpanan'!$1:$6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5" l="1"/>
  <c r="D9" i="5"/>
  <c r="J4" i="5"/>
  <c r="K47" i="4" l="1"/>
  <c r="K172" i="4"/>
  <c r="C20" i="2" l="1"/>
  <c r="C21" i="2"/>
  <c r="C6" i="2"/>
  <c r="C11" i="2"/>
  <c r="D83" i="2" l="1"/>
  <c r="D73" i="2"/>
  <c r="D7" i="1"/>
  <c r="C8" i="1"/>
  <c r="C36" i="1"/>
  <c r="C22" i="1"/>
  <c r="C10" i="1"/>
  <c r="F299" i="5" l="1"/>
  <c r="C299" i="5"/>
  <c r="I3" i="5" s="1"/>
  <c r="C299" i="4"/>
  <c r="E299" i="4" l="1"/>
  <c r="F297" i="4"/>
  <c r="D299" i="4"/>
  <c r="F296" i="4"/>
  <c r="F295" i="4"/>
  <c r="F294" i="4"/>
  <c r="F293" i="4"/>
  <c r="F292" i="4"/>
  <c r="F291" i="4"/>
  <c r="F290" i="4"/>
  <c r="F289" i="4"/>
  <c r="F274" i="4"/>
  <c r="C34" i="8" l="1"/>
  <c r="C15" i="8"/>
  <c r="C36" i="8" s="1"/>
  <c r="B37" i="7"/>
  <c r="B22" i="7"/>
  <c r="B27" i="7" s="1"/>
  <c r="B39" i="7" s="1"/>
  <c r="B16" i="7"/>
  <c r="F288" i="4" l="1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299" i="4" l="1"/>
  <c r="K5" i="4" s="1"/>
  <c r="L6" i="4" s="1"/>
  <c r="G37" i="4" s="1"/>
  <c r="H37" i="4" s="1"/>
  <c r="D131" i="5"/>
  <c r="E131" i="5" s="1"/>
  <c r="D297" i="5"/>
  <c r="E297" i="5" s="1"/>
  <c r="D296" i="5"/>
  <c r="E296" i="5" s="1"/>
  <c r="D295" i="5"/>
  <c r="E295" i="5" s="1"/>
  <c r="D294" i="5"/>
  <c r="E294" i="5" s="1"/>
  <c r="D293" i="5"/>
  <c r="E293" i="5" s="1"/>
  <c r="D292" i="5"/>
  <c r="E292" i="5" s="1"/>
  <c r="D290" i="5"/>
  <c r="E290" i="5" s="1"/>
  <c r="D289" i="5"/>
  <c r="E289" i="5" s="1"/>
  <c r="D291" i="5"/>
  <c r="E291" i="5" s="1"/>
  <c r="G277" i="4"/>
  <c r="H277" i="4" s="1"/>
  <c r="G38" i="4"/>
  <c r="H38" i="4" s="1"/>
  <c r="G8" i="4"/>
  <c r="G24" i="4"/>
  <c r="H24" i="4" s="1"/>
  <c r="G56" i="4"/>
  <c r="H56" i="4" s="1"/>
  <c r="G40" i="4"/>
  <c r="H40" i="4" s="1"/>
  <c r="G221" i="4"/>
  <c r="H221" i="4" s="1"/>
  <c r="G292" i="4"/>
  <c r="H292" i="4" s="1"/>
  <c r="G297" i="4"/>
  <c r="H297" i="4" s="1"/>
  <c r="G291" i="4"/>
  <c r="H291" i="4" s="1"/>
  <c r="G296" i="4"/>
  <c r="H296" i="4" s="1"/>
  <c r="G290" i="4"/>
  <c r="H290" i="4" s="1"/>
  <c r="G289" i="4"/>
  <c r="H289" i="4" s="1"/>
  <c r="G295" i="4"/>
  <c r="H295" i="4" s="1"/>
  <c r="G293" i="4"/>
  <c r="H293" i="4" s="1"/>
  <c r="G294" i="4"/>
  <c r="H294" i="4" s="1"/>
  <c r="D44" i="5"/>
  <c r="E44" i="5" s="1"/>
  <c r="D108" i="5"/>
  <c r="E108" i="5" s="1"/>
  <c r="D235" i="5"/>
  <c r="E235" i="5" s="1"/>
  <c r="D267" i="5"/>
  <c r="E267" i="5" s="1"/>
  <c r="D268" i="5"/>
  <c r="E268" i="5" s="1"/>
  <c r="D275" i="5"/>
  <c r="E275" i="5" s="1"/>
  <c r="D276" i="5"/>
  <c r="E276" i="5" s="1"/>
  <c r="D147" i="5"/>
  <c r="E147" i="5" s="1"/>
  <c r="D21" i="5"/>
  <c r="E21" i="5" s="1"/>
  <c r="D28" i="5"/>
  <c r="E28" i="5" s="1"/>
  <c r="D148" i="5"/>
  <c r="E148" i="5" s="1"/>
  <c r="D156" i="5"/>
  <c r="E156" i="5" s="1"/>
  <c r="D163" i="5"/>
  <c r="E163" i="5" s="1"/>
  <c r="D171" i="5"/>
  <c r="E171" i="5" s="1"/>
  <c r="D116" i="5"/>
  <c r="E116" i="5" s="1"/>
  <c r="D29" i="5"/>
  <c r="E29" i="5" s="1"/>
  <c r="D52" i="5"/>
  <c r="E52" i="5" s="1"/>
  <c r="D203" i="5"/>
  <c r="E203" i="5" s="1"/>
  <c r="D204" i="5"/>
  <c r="E204" i="5" s="1"/>
  <c r="D211" i="5"/>
  <c r="E211" i="5" s="1"/>
  <c r="D20" i="5"/>
  <c r="E20" i="5" s="1"/>
  <c r="D85" i="5"/>
  <c r="E85" i="5" s="1"/>
  <c r="D92" i="5"/>
  <c r="E92" i="5" s="1"/>
  <c r="D212" i="5"/>
  <c r="E212" i="5" s="1"/>
  <c r="D140" i="5"/>
  <c r="E140" i="5" s="1"/>
  <c r="D37" i="5"/>
  <c r="E37" i="5" s="1"/>
  <c r="D93" i="5"/>
  <c r="E93" i="5" s="1"/>
  <c r="D220" i="5"/>
  <c r="E220" i="5" s="1"/>
  <c r="D139" i="5"/>
  <c r="E139" i="5" s="1"/>
  <c r="D84" i="5"/>
  <c r="E84" i="5" s="1"/>
  <c r="D101" i="5"/>
  <c r="E101" i="5" s="1"/>
  <c r="D227" i="5"/>
  <c r="E227" i="5" s="1"/>
  <c r="G102" i="4"/>
  <c r="H102" i="4" s="1"/>
  <c r="G72" i="4"/>
  <c r="H72" i="4" s="1"/>
  <c r="G216" i="4"/>
  <c r="H216" i="4" s="1"/>
  <c r="G25" i="4"/>
  <c r="H25" i="4" s="1"/>
  <c r="G11" i="4"/>
  <c r="H11" i="4" s="1"/>
  <c r="G43" i="4"/>
  <c r="H43" i="4" s="1"/>
  <c r="G13" i="4"/>
  <c r="H13" i="4" s="1"/>
  <c r="G88" i="4"/>
  <c r="H88" i="4" s="1"/>
  <c r="G104" i="4"/>
  <c r="H104" i="4" s="1"/>
  <c r="G120" i="4"/>
  <c r="H120" i="4" s="1"/>
  <c r="G136" i="4"/>
  <c r="H136" i="4" s="1"/>
  <c r="G152" i="4"/>
  <c r="H152" i="4" s="1"/>
  <c r="G168" i="4"/>
  <c r="H168" i="4" s="1"/>
  <c r="G184" i="4"/>
  <c r="H184" i="4" s="1"/>
  <c r="G200" i="4"/>
  <c r="H200" i="4" s="1"/>
  <c r="G247" i="4"/>
  <c r="H247" i="4" s="1"/>
  <c r="G263" i="4"/>
  <c r="H263" i="4" s="1"/>
  <c r="G26" i="4"/>
  <c r="H26" i="4" s="1"/>
  <c r="G89" i="4"/>
  <c r="H89" i="4" s="1"/>
  <c r="G201" i="4"/>
  <c r="H201" i="4" s="1"/>
  <c r="G232" i="4"/>
  <c r="H232" i="4" s="1"/>
  <c r="G248" i="4"/>
  <c r="H248" i="4" s="1"/>
  <c r="G264" i="4"/>
  <c r="H264" i="4" s="1"/>
  <c r="G280" i="4"/>
  <c r="H280" i="4" s="1"/>
  <c r="G12" i="4"/>
  <c r="H12" i="4" s="1"/>
  <c r="G27" i="4"/>
  <c r="H27" i="4" s="1"/>
  <c r="G186" i="4"/>
  <c r="H186" i="4" s="1"/>
  <c r="G202" i="4"/>
  <c r="H202" i="4" s="1"/>
  <c r="G217" i="4"/>
  <c r="H217" i="4" s="1"/>
  <c r="G28" i="4"/>
  <c r="H28" i="4" s="1"/>
  <c r="G59" i="4"/>
  <c r="H59" i="4" s="1"/>
  <c r="G75" i="4"/>
  <c r="H75" i="4" s="1"/>
  <c r="G29" i="4"/>
  <c r="H29" i="4" s="1"/>
  <c r="G44" i="4"/>
  <c r="H44" i="4" s="1"/>
  <c r="G60" i="4"/>
  <c r="H60" i="4" s="1"/>
  <c r="G76" i="4"/>
  <c r="H76" i="4" s="1"/>
  <c r="G108" i="4"/>
  <c r="H108" i="4" s="1"/>
  <c r="G14" i="4"/>
  <c r="H14" i="4" s="1"/>
  <c r="G15" i="4"/>
  <c r="H15" i="4" s="1"/>
  <c r="G62" i="4"/>
  <c r="H62" i="4" s="1"/>
  <c r="G158" i="4"/>
  <c r="H158" i="4" s="1"/>
  <c r="G63" i="4"/>
  <c r="H63" i="4" s="1"/>
  <c r="G143" i="4"/>
  <c r="H143" i="4" s="1"/>
  <c r="G144" i="4"/>
  <c r="H144" i="4" s="1"/>
  <c r="G49" i="4"/>
  <c r="H49" i="4" s="1"/>
  <c r="G129" i="4"/>
  <c r="H129" i="4" s="1"/>
  <c r="G50" i="4"/>
  <c r="H50" i="4" s="1"/>
  <c r="G130" i="4"/>
  <c r="H130" i="4" s="1"/>
  <c r="G20" i="4"/>
  <c r="H20" i="4" s="1"/>
  <c r="G51" i="4"/>
  <c r="H51" i="4" s="1"/>
  <c r="G115" i="4"/>
  <c r="H115" i="4" s="1"/>
  <c r="G21" i="4"/>
  <c r="H21" i="4" s="1"/>
  <c r="G36" i="4"/>
  <c r="H36" i="4" s="1"/>
  <c r="G52" i="4"/>
  <c r="H52" i="4" s="1"/>
  <c r="G84" i="4"/>
  <c r="H84" i="4" s="1"/>
  <c r="G100" i="4"/>
  <c r="H100" i="4" s="1"/>
  <c r="G116" i="4"/>
  <c r="H116" i="4" s="1"/>
  <c r="G132" i="4"/>
  <c r="H132" i="4" s="1"/>
  <c r="G103" i="4"/>
  <c r="H103" i="4" s="1"/>
  <c r="G131" i="4"/>
  <c r="H131" i="4" s="1"/>
  <c r="G145" i="4"/>
  <c r="H145" i="4" s="1"/>
  <c r="G159" i="4"/>
  <c r="H159" i="4" s="1"/>
  <c r="G173" i="4"/>
  <c r="H173" i="4" s="1"/>
  <c r="G218" i="4"/>
  <c r="H218" i="4" s="1"/>
  <c r="G233" i="4"/>
  <c r="H233" i="4" s="1"/>
  <c r="G279" i="4"/>
  <c r="H279" i="4" s="1"/>
  <c r="G39" i="4"/>
  <c r="H39" i="4" s="1"/>
  <c r="G64" i="4"/>
  <c r="H64" i="4" s="1"/>
  <c r="G90" i="4"/>
  <c r="H90" i="4" s="1"/>
  <c r="G117" i="4"/>
  <c r="H117" i="4" s="1"/>
  <c r="G146" i="4"/>
  <c r="H146" i="4" s="1"/>
  <c r="G160" i="4"/>
  <c r="H160" i="4" s="1"/>
  <c r="G174" i="4"/>
  <c r="H174" i="4" s="1"/>
  <c r="G189" i="4"/>
  <c r="H189" i="4" s="1"/>
  <c r="G234" i="4"/>
  <c r="H234" i="4" s="1"/>
  <c r="G249" i="4"/>
  <c r="H249" i="4" s="1"/>
  <c r="D36" i="5"/>
  <c r="E36" i="5" s="1"/>
  <c r="D100" i="5"/>
  <c r="E100" i="5" s="1"/>
  <c r="D155" i="5"/>
  <c r="E155" i="5" s="1"/>
  <c r="D219" i="5"/>
  <c r="E219" i="5" s="1"/>
  <c r="D283" i="5"/>
  <c r="E283" i="5" s="1"/>
  <c r="G16" i="4"/>
  <c r="H16" i="4" s="1"/>
  <c r="G65" i="4"/>
  <c r="H65" i="4" s="1"/>
  <c r="G118" i="4"/>
  <c r="H118" i="4" s="1"/>
  <c r="G147" i="4"/>
  <c r="H147" i="4" s="1"/>
  <c r="G161" i="4"/>
  <c r="H161" i="4" s="1"/>
  <c r="G175" i="4"/>
  <c r="H175" i="4" s="1"/>
  <c r="G190" i="4"/>
  <c r="H190" i="4" s="1"/>
  <c r="G250" i="4"/>
  <c r="H250" i="4" s="1"/>
  <c r="G265" i="4"/>
  <c r="H265" i="4" s="1"/>
  <c r="G17" i="4"/>
  <c r="H17" i="4" s="1"/>
  <c r="G53" i="4"/>
  <c r="H53" i="4" s="1"/>
  <c r="G66" i="4"/>
  <c r="H66" i="4" s="1"/>
  <c r="G78" i="4"/>
  <c r="H78" i="4" s="1"/>
  <c r="G105" i="4"/>
  <c r="H105" i="4" s="1"/>
  <c r="G119" i="4"/>
  <c r="H119" i="4" s="1"/>
  <c r="G133" i="4"/>
  <c r="H133" i="4" s="1"/>
  <c r="G162" i="4"/>
  <c r="H162" i="4" s="1"/>
  <c r="G176" i="4"/>
  <c r="H176" i="4" s="1"/>
  <c r="G191" i="4"/>
  <c r="H191" i="4" s="1"/>
  <c r="G206" i="4"/>
  <c r="H206" i="4" s="1"/>
  <c r="G266" i="4"/>
  <c r="H266" i="4" s="1"/>
  <c r="G281" i="4"/>
  <c r="H281" i="4" s="1"/>
  <c r="G18" i="4"/>
  <c r="H18" i="4" s="1"/>
  <c r="G41" i="4"/>
  <c r="H41" i="4" s="1"/>
  <c r="G54" i="4"/>
  <c r="H54" i="4" s="1"/>
  <c r="G67" i="4"/>
  <c r="H67" i="4" s="1"/>
  <c r="G79" i="4"/>
  <c r="H79" i="4" s="1"/>
  <c r="G92" i="4"/>
  <c r="H92" i="4" s="1"/>
  <c r="G106" i="4"/>
  <c r="H106" i="4" s="1"/>
  <c r="G148" i="4"/>
  <c r="H148" i="4" s="1"/>
  <c r="G163" i="4"/>
  <c r="H163" i="4" s="1"/>
  <c r="G177" i="4"/>
  <c r="H177" i="4" s="1"/>
  <c r="G192" i="4"/>
  <c r="H192" i="4" s="1"/>
  <c r="G207" i="4"/>
  <c r="H207" i="4" s="1"/>
  <c r="G222" i="4"/>
  <c r="H222" i="4" s="1"/>
  <c r="G237" i="4"/>
  <c r="H237" i="4" s="1"/>
  <c r="G282" i="4"/>
  <c r="H282" i="4" s="1"/>
  <c r="D45" i="5"/>
  <c r="E45" i="5" s="1"/>
  <c r="D109" i="5"/>
  <c r="E109" i="5" s="1"/>
  <c r="D164" i="5"/>
  <c r="E164" i="5" s="1"/>
  <c r="D228" i="5"/>
  <c r="E228" i="5" s="1"/>
  <c r="G19" i="4"/>
  <c r="H19" i="4" s="1"/>
  <c r="G42" i="4"/>
  <c r="H42" i="4" s="1"/>
  <c r="G55" i="4"/>
  <c r="H55" i="4" s="1"/>
  <c r="G80" i="4"/>
  <c r="H80" i="4" s="1"/>
  <c r="G135" i="4"/>
  <c r="H135" i="4" s="1"/>
  <c r="G149" i="4"/>
  <c r="H149" i="4" s="1"/>
  <c r="G178" i="4"/>
  <c r="H178" i="4" s="1"/>
  <c r="G193" i="4"/>
  <c r="H193" i="4" s="1"/>
  <c r="G208" i="4"/>
  <c r="H208" i="4" s="1"/>
  <c r="G223" i="4"/>
  <c r="H223" i="4" s="1"/>
  <c r="G238" i="4"/>
  <c r="H238" i="4" s="1"/>
  <c r="G253" i="4"/>
  <c r="H253" i="4" s="1"/>
  <c r="G68" i="4"/>
  <c r="H68" i="4" s="1"/>
  <c r="G81" i="4"/>
  <c r="H81" i="4" s="1"/>
  <c r="G94" i="4"/>
  <c r="H94" i="4" s="1"/>
  <c r="G121" i="4"/>
  <c r="H121" i="4" s="1"/>
  <c r="G164" i="4"/>
  <c r="H164" i="4" s="1"/>
  <c r="G179" i="4"/>
  <c r="H179" i="4" s="1"/>
  <c r="G194" i="4"/>
  <c r="H194" i="4" s="1"/>
  <c r="G209" i="4"/>
  <c r="H209" i="4" s="1"/>
  <c r="G224" i="4"/>
  <c r="H224" i="4" s="1"/>
  <c r="G239" i="4"/>
  <c r="H239" i="4" s="1"/>
  <c r="G254" i="4"/>
  <c r="H254" i="4" s="1"/>
  <c r="G269" i="4"/>
  <c r="H269" i="4" s="1"/>
  <c r="G284" i="4"/>
  <c r="H284" i="4" s="1"/>
  <c r="D53" i="5"/>
  <c r="E53" i="5" s="1"/>
  <c r="D117" i="5"/>
  <c r="E117" i="5" s="1"/>
  <c r="D172" i="5"/>
  <c r="E172" i="5" s="1"/>
  <c r="D236" i="5"/>
  <c r="E236" i="5" s="1"/>
  <c r="G9" i="4"/>
  <c r="H9" i="4" s="1"/>
  <c r="G30" i="4"/>
  <c r="H30" i="4" s="1"/>
  <c r="G69" i="4"/>
  <c r="H69" i="4" s="1"/>
  <c r="G82" i="4"/>
  <c r="H82" i="4" s="1"/>
  <c r="G95" i="4"/>
  <c r="H95" i="4" s="1"/>
  <c r="G122" i="4"/>
  <c r="H122" i="4" s="1"/>
  <c r="G151" i="4"/>
  <c r="H151" i="4" s="1"/>
  <c r="G165" i="4"/>
  <c r="H165" i="4" s="1"/>
  <c r="G195" i="4"/>
  <c r="H195" i="4" s="1"/>
  <c r="G225" i="4"/>
  <c r="H225" i="4" s="1"/>
  <c r="G240" i="4"/>
  <c r="H240" i="4" s="1"/>
  <c r="G255" i="4"/>
  <c r="H255" i="4" s="1"/>
  <c r="G270" i="4"/>
  <c r="H270" i="4" s="1"/>
  <c r="G285" i="4"/>
  <c r="H285" i="4" s="1"/>
  <c r="D179" i="5"/>
  <c r="E179" i="5" s="1"/>
  <c r="D243" i="5"/>
  <c r="E243" i="5" s="1"/>
  <c r="G10" i="4"/>
  <c r="H10" i="4" s="1"/>
  <c r="G31" i="4"/>
  <c r="H31" i="4" s="1"/>
  <c r="G57" i="4"/>
  <c r="H57" i="4" s="1"/>
  <c r="G70" i="4"/>
  <c r="H70" i="4" s="1"/>
  <c r="G83" i="4"/>
  <c r="H83" i="4" s="1"/>
  <c r="G96" i="4"/>
  <c r="H96" i="4" s="1"/>
  <c r="G137" i="4"/>
  <c r="H137" i="4" s="1"/>
  <c r="G181" i="4"/>
  <c r="H181" i="4" s="1"/>
  <c r="G211" i="4"/>
  <c r="H211" i="4" s="1"/>
  <c r="G226" i="4"/>
  <c r="H226" i="4" s="1"/>
  <c r="G241" i="4"/>
  <c r="H241" i="4" s="1"/>
  <c r="G256" i="4"/>
  <c r="H256" i="4" s="1"/>
  <c r="G271" i="4"/>
  <c r="H271" i="4" s="1"/>
  <c r="G286" i="4"/>
  <c r="H286" i="4" s="1"/>
  <c r="D60" i="5"/>
  <c r="E60" i="5" s="1"/>
  <c r="D61" i="5"/>
  <c r="E61" i="5" s="1"/>
  <c r="D124" i="5"/>
  <c r="E124" i="5" s="1"/>
  <c r="D180" i="5"/>
  <c r="E180" i="5" s="1"/>
  <c r="D244" i="5"/>
  <c r="E244" i="5" s="1"/>
  <c r="G32" i="4"/>
  <c r="H32" i="4" s="1"/>
  <c r="G58" i="4"/>
  <c r="H58" i="4" s="1"/>
  <c r="G71" i="4"/>
  <c r="H71" i="4" s="1"/>
  <c r="G97" i="4"/>
  <c r="H97" i="4" s="1"/>
  <c r="G110" i="4"/>
  <c r="H110" i="4" s="1"/>
  <c r="G138" i="4"/>
  <c r="H138" i="4" s="1"/>
  <c r="G167" i="4"/>
  <c r="H167" i="4" s="1"/>
  <c r="G197" i="4"/>
  <c r="H197" i="4" s="1"/>
  <c r="G227" i="4"/>
  <c r="H227" i="4" s="1"/>
  <c r="G242" i="4"/>
  <c r="H242" i="4" s="1"/>
  <c r="G257" i="4"/>
  <c r="H257" i="4" s="1"/>
  <c r="G272" i="4"/>
  <c r="H272" i="4" s="1"/>
  <c r="G287" i="4"/>
  <c r="H287" i="4" s="1"/>
  <c r="D187" i="5"/>
  <c r="E187" i="5" s="1"/>
  <c r="D251" i="5"/>
  <c r="E251" i="5" s="1"/>
  <c r="G22" i="4"/>
  <c r="H22" i="4" s="1"/>
  <c r="G33" i="4"/>
  <c r="H33" i="4" s="1"/>
  <c r="G98" i="4"/>
  <c r="H98" i="4" s="1"/>
  <c r="G111" i="4"/>
  <c r="H111" i="4" s="1"/>
  <c r="G153" i="4"/>
  <c r="H153" i="4" s="1"/>
  <c r="G183" i="4"/>
  <c r="H183" i="4" s="1"/>
  <c r="G213" i="4"/>
  <c r="H213" i="4" s="1"/>
  <c r="G243" i="4"/>
  <c r="H243" i="4" s="1"/>
  <c r="G258" i="4"/>
  <c r="H258" i="4" s="1"/>
  <c r="G273" i="4"/>
  <c r="H273" i="4" s="1"/>
  <c r="G288" i="4"/>
  <c r="H288" i="4" s="1"/>
  <c r="D69" i="5"/>
  <c r="E69" i="5" s="1"/>
  <c r="D126" i="5"/>
  <c r="E126" i="5" s="1"/>
  <c r="D188" i="5"/>
  <c r="E188" i="5" s="1"/>
  <c r="D252" i="5"/>
  <c r="E252" i="5" s="1"/>
  <c r="G23" i="4"/>
  <c r="H23" i="4" s="1"/>
  <c r="G34" i="4"/>
  <c r="H34" i="4" s="1"/>
  <c r="G46" i="4"/>
  <c r="H46" i="4" s="1"/>
  <c r="G85" i="4"/>
  <c r="H85" i="4" s="1"/>
  <c r="G99" i="4"/>
  <c r="H99" i="4" s="1"/>
  <c r="G112" i="4"/>
  <c r="H112" i="4" s="1"/>
  <c r="G126" i="4"/>
  <c r="H126" i="4" s="1"/>
  <c r="G154" i="4"/>
  <c r="H154" i="4" s="1"/>
  <c r="G199" i="4"/>
  <c r="H199" i="4" s="1"/>
  <c r="G229" i="4"/>
  <c r="H229" i="4" s="1"/>
  <c r="G259" i="4"/>
  <c r="H259" i="4" s="1"/>
  <c r="G274" i="4"/>
  <c r="H274" i="4" s="1"/>
  <c r="D12" i="5"/>
  <c r="E12" i="5" s="1"/>
  <c r="D76" i="5"/>
  <c r="E76" i="5" s="1"/>
  <c r="D132" i="5"/>
  <c r="E132" i="5" s="1"/>
  <c r="D195" i="5"/>
  <c r="E195" i="5" s="1"/>
  <c r="D259" i="5"/>
  <c r="E259" i="5" s="1"/>
  <c r="G35" i="4"/>
  <c r="H35" i="4" s="1"/>
  <c r="G47" i="4"/>
  <c r="H47" i="4" s="1"/>
  <c r="G73" i="4"/>
  <c r="H73" i="4" s="1"/>
  <c r="G86" i="4"/>
  <c r="H86" i="4" s="1"/>
  <c r="G113" i="4"/>
  <c r="H113" i="4" s="1"/>
  <c r="G127" i="4"/>
  <c r="H127" i="4" s="1"/>
  <c r="G169" i="4"/>
  <c r="H169" i="4" s="1"/>
  <c r="G215" i="4"/>
  <c r="H215" i="4" s="1"/>
  <c r="G245" i="4"/>
  <c r="H245" i="4" s="1"/>
  <c r="G275" i="4"/>
  <c r="D68" i="5"/>
  <c r="E68" i="5" s="1"/>
  <c r="D13" i="5"/>
  <c r="E13" i="5" s="1"/>
  <c r="D77" i="5"/>
  <c r="E77" i="5" s="1"/>
  <c r="D196" i="5"/>
  <c r="E196" i="5" s="1"/>
  <c r="D260" i="5"/>
  <c r="E260" i="5" s="1"/>
  <c r="G48" i="4"/>
  <c r="H48" i="4" s="1"/>
  <c r="G74" i="4"/>
  <c r="H74" i="4" s="1"/>
  <c r="G87" i="4"/>
  <c r="H87" i="4" s="1"/>
  <c r="G114" i="4"/>
  <c r="H114" i="4" s="1"/>
  <c r="G128" i="4"/>
  <c r="H128" i="4" s="1"/>
  <c r="G142" i="4"/>
  <c r="H142" i="4" s="1"/>
  <c r="G170" i="4"/>
  <c r="H170" i="4" s="1"/>
  <c r="G185" i="4"/>
  <c r="H185" i="4" s="1"/>
  <c r="G231" i="4"/>
  <c r="H231" i="4" s="1"/>
  <c r="G261" i="4"/>
  <c r="H261" i="4" s="1"/>
  <c r="H8" i="4"/>
  <c r="G180" i="4"/>
  <c r="H180" i="4" s="1"/>
  <c r="G196" i="4"/>
  <c r="H196" i="4" s="1"/>
  <c r="G212" i="4"/>
  <c r="H212" i="4" s="1"/>
  <c r="G228" i="4"/>
  <c r="H228" i="4" s="1"/>
  <c r="G244" i="4"/>
  <c r="H244" i="4" s="1"/>
  <c r="G260" i="4"/>
  <c r="H260" i="4" s="1"/>
  <c r="G276" i="4"/>
  <c r="H276" i="4" s="1"/>
  <c r="G91" i="4"/>
  <c r="H91" i="4" s="1"/>
  <c r="G107" i="4"/>
  <c r="H107" i="4" s="1"/>
  <c r="G123" i="4"/>
  <c r="H123" i="4" s="1"/>
  <c r="G139" i="4"/>
  <c r="H139" i="4" s="1"/>
  <c r="G155" i="4"/>
  <c r="H155" i="4" s="1"/>
  <c r="G171" i="4"/>
  <c r="H171" i="4" s="1"/>
  <c r="G187" i="4"/>
  <c r="H187" i="4" s="1"/>
  <c r="G203" i="4"/>
  <c r="H203" i="4" s="1"/>
  <c r="G219" i="4"/>
  <c r="H219" i="4" s="1"/>
  <c r="G235" i="4"/>
  <c r="H235" i="4" s="1"/>
  <c r="G251" i="4"/>
  <c r="H251" i="4" s="1"/>
  <c r="G267" i="4"/>
  <c r="H267" i="4" s="1"/>
  <c r="G283" i="4"/>
  <c r="H283" i="4" s="1"/>
  <c r="G134" i="4"/>
  <c r="H134" i="4" s="1"/>
  <c r="G150" i="4"/>
  <c r="H150" i="4" s="1"/>
  <c r="G166" i="4"/>
  <c r="H166" i="4" s="1"/>
  <c r="G182" i="4"/>
  <c r="H182" i="4" s="1"/>
  <c r="G198" i="4"/>
  <c r="H198" i="4" s="1"/>
  <c r="G214" i="4"/>
  <c r="H214" i="4" s="1"/>
  <c r="G230" i="4"/>
  <c r="H230" i="4" s="1"/>
  <c r="G246" i="4"/>
  <c r="H246" i="4" s="1"/>
  <c r="G262" i="4"/>
  <c r="H262" i="4" s="1"/>
  <c r="G278" i="4"/>
  <c r="H278" i="4" s="1"/>
  <c r="G124" i="4"/>
  <c r="H124" i="4" s="1"/>
  <c r="G140" i="4"/>
  <c r="H140" i="4" s="1"/>
  <c r="G156" i="4"/>
  <c r="H156" i="4" s="1"/>
  <c r="G172" i="4"/>
  <c r="H172" i="4" s="1"/>
  <c r="G188" i="4"/>
  <c r="H188" i="4" s="1"/>
  <c r="G204" i="4"/>
  <c r="H204" i="4" s="1"/>
  <c r="G220" i="4"/>
  <c r="H220" i="4" s="1"/>
  <c r="G236" i="4"/>
  <c r="H236" i="4" s="1"/>
  <c r="G252" i="4"/>
  <c r="H252" i="4" s="1"/>
  <c r="G268" i="4"/>
  <c r="H268" i="4" s="1"/>
  <c r="G210" i="4"/>
  <c r="H210" i="4" s="1"/>
  <c r="G45" i="4"/>
  <c r="H45" i="4" s="1"/>
  <c r="G61" i="4"/>
  <c r="H61" i="4" s="1"/>
  <c r="G77" i="4"/>
  <c r="H77" i="4" s="1"/>
  <c r="G93" i="4"/>
  <c r="H93" i="4" s="1"/>
  <c r="G109" i="4"/>
  <c r="H109" i="4" s="1"/>
  <c r="G125" i="4"/>
  <c r="H125" i="4" s="1"/>
  <c r="G141" i="4"/>
  <c r="H141" i="4" s="1"/>
  <c r="G157" i="4"/>
  <c r="H157" i="4" s="1"/>
  <c r="G205" i="4"/>
  <c r="H205" i="4" s="1"/>
  <c r="D284" i="5"/>
  <c r="E284" i="5" s="1"/>
  <c r="D125" i="5"/>
  <c r="E125" i="5" s="1"/>
  <c r="D133" i="5"/>
  <c r="E133" i="5" s="1"/>
  <c r="D14" i="5"/>
  <c r="E14" i="5" s="1"/>
  <c r="D22" i="5"/>
  <c r="E22" i="5" s="1"/>
  <c r="D30" i="5"/>
  <c r="E30" i="5" s="1"/>
  <c r="D38" i="5"/>
  <c r="E38" i="5" s="1"/>
  <c r="D46" i="5"/>
  <c r="E46" i="5" s="1"/>
  <c r="D54" i="5"/>
  <c r="E54" i="5" s="1"/>
  <c r="D62" i="5"/>
  <c r="E62" i="5" s="1"/>
  <c r="D70" i="5"/>
  <c r="E70" i="5" s="1"/>
  <c r="D78" i="5"/>
  <c r="E78" i="5" s="1"/>
  <c r="D86" i="5"/>
  <c r="E86" i="5" s="1"/>
  <c r="D94" i="5"/>
  <c r="E94" i="5" s="1"/>
  <c r="D102" i="5"/>
  <c r="E102" i="5" s="1"/>
  <c r="D110" i="5"/>
  <c r="E110" i="5" s="1"/>
  <c r="D118" i="5"/>
  <c r="E118" i="5" s="1"/>
  <c r="D141" i="5"/>
  <c r="E141" i="5" s="1"/>
  <c r="D149" i="5"/>
  <c r="E149" i="5" s="1"/>
  <c r="D157" i="5"/>
  <c r="E157" i="5" s="1"/>
  <c r="D165" i="5"/>
  <c r="E165" i="5" s="1"/>
  <c r="D173" i="5"/>
  <c r="E173" i="5" s="1"/>
  <c r="D181" i="5"/>
  <c r="E181" i="5" s="1"/>
  <c r="D189" i="5"/>
  <c r="E189" i="5" s="1"/>
  <c r="D197" i="5"/>
  <c r="E197" i="5" s="1"/>
  <c r="D205" i="5"/>
  <c r="E205" i="5" s="1"/>
  <c r="D213" i="5"/>
  <c r="E213" i="5" s="1"/>
  <c r="D221" i="5"/>
  <c r="E221" i="5" s="1"/>
  <c r="D229" i="5"/>
  <c r="E229" i="5" s="1"/>
  <c r="D237" i="5"/>
  <c r="E237" i="5" s="1"/>
  <c r="D245" i="5"/>
  <c r="E245" i="5" s="1"/>
  <c r="D253" i="5"/>
  <c r="E253" i="5" s="1"/>
  <c r="D261" i="5"/>
  <c r="E261" i="5" s="1"/>
  <c r="D269" i="5"/>
  <c r="E269" i="5" s="1"/>
  <c r="D277" i="5"/>
  <c r="E277" i="5" s="1"/>
  <c r="D285" i="5"/>
  <c r="E285" i="5" s="1"/>
  <c r="D15" i="5"/>
  <c r="E15" i="5" s="1"/>
  <c r="D23" i="5"/>
  <c r="E23" i="5" s="1"/>
  <c r="D31" i="5"/>
  <c r="E31" i="5" s="1"/>
  <c r="D39" i="5"/>
  <c r="E39" i="5" s="1"/>
  <c r="D47" i="5"/>
  <c r="E47" i="5" s="1"/>
  <c r="D55" i="5"/>
  <c r="E55" i="5" s="1"/>
  <c r="D63" i="5"/>
  <c r="E63" i="5" s="1"/>
  <c r="D71" i="5"/>
  <c r="E71" i="5" s="1"/>
  <c r="D79" i="5"/>
  <c r="E79" i="5" s="1"/>
  <c r="D87" i="5"/>
  <c r="E87" i="5" s="1"/>
  <c r="D95" i="5"/>
  <c r="E95" i="5" s="1"/>
  <c r="D103" i="5"/>
  <c r="E103" i="5" s="1"/>
  <c r="D111" i="5"/>
  <c r="E111" i="5" s="1"/>
  <c r="D119" i="5"/>
  <c r="E119" i="5" s="1"/>
  <c r="D134" i="5"/>
  <c r="E134" i="5" s="1"/>
  <c r="D142" i="5"/>
  <c r="E142" i="5" s="1"/>
  <c r="D150" i="5"/>
  <c r="E150" i="5" s="1"/>
  <c r="D158" i="5"/>
  <c r="E158" i="5" s="1"/>
  <c r="D166" i="5"/>
  <c r="E166" i="5" s="1"/>
  <c r="D174" i="5"/>
  <c r="E174" i="5" s="1"/>
  <c r="D182" i="5"/>
  <c r="E182" i="5" s="1"/>
  <c r="D190" i="5"/>
  <c r="E190" i="5" s="1"/>
  <c r="D198" i="5"/>
  <c r="E198" i="5" s="1"/>
  <c r="D206" i="5"/>
  <c r="E206" i="5" s="1"/>
  <c r="D214" i="5"/>
  <c r="E214" i="5" s="1"/>
  <c r="D222" i="5"/>
  <c r="E222" i="5" s="1"/>
  <c r="D230" i="5"/>
  <c r="E230" i="5" s="1"/>
  <c r="D238" i="5"/>
  <c r="E238" i="5" s="1"/>
  <c r="D246" i="5"/>
  <c r="E246" i="5" s="1"/>
  <c r="D254" i="5"/>
  <c r="E254" i="5" s="1"/>
  <c r="D262" i="5"/>
  <c r="E262" i="5" s="1"/>
  <c r="D270" i="5"/>
  <c r="E270" i="5" s="1"/>
  <c r="D278" i="5"/>
  <c r="E278" i="5" s="1"/>
  <c r="D286" i="5"/>
  <c r="E286" i="5" s="1"/>
  <c r="D127" i="5"/>
  <c r="E127" i="5" s="1"/>
  <c r="D16" i="5"/>
  <c r="E16" i="5" s="1"/>
  <c r="D24" i="5"/>
  <c r="E24" i="5" s="1"/>
  <c r="D32" i="5"/>
  <c r="E32" i="5" s="1"/>
  <c r="D40" i="5"/>
  <c r="E40" i="5" s="1"/>
  <c r="D48" i="5"/>
  <c r="E48" i="5" s="1"/>
  <c r="D56" i="5"/>
  <c r="E56" i="5" s="1"/>
  <c r="D64" i="5"/>
  <c r="E64" i="5" s="1"/>
  <c r="D72" i="5"/>
  <c r="E72" i="5" s="1"/>
  <c r="D80" i="5"/>
  <c r="E80" i="5" s="1"/>
  <c r="D88" i="5"/>
  <c r="E88" i="5" s="1"/>
  <c r="D96" i="5"/>
  <c r="E96" i="5" s="1"/>
  <c r="D104" i="5"/>
  <c r="E104" i="5" s="1"/>
  <c r="D112" i="5"/>
  <c r="E112" i="5" s="1"/>
  <c r="D120" i="5"/>
  <c r="E120" i="5" s="1"/>
  <c r="D135" i="5"/>
  <c r="E135" i="5" s="1"/>
  <c r="D143" i="5"/>
  <c r="E143" i="5" s="1"/>
  <c r="D151" i="5"/>
  <c r="E151" i="5" s="1"/>
  <c r="D159" i="5"/>
  <c r="E159" i="5" s="1"/>
  <c r="D167" i="5"/>
  <c r="E167" i="5" s="1"/>
  <c r="D175" i="5"/>
  <c r="E175" i="5" s="1"/>
  <c r="D183" i="5"/>
  <c r="E183" i="5" s="1"/>
  <c r="D191" i="5"/>
  <c r="E191" i="5" s="1"/>
  <c r="D199" i="5"/>
  <c r="E199" i="5" s="1"/>
  <c r="D207" i="5"/>
  <c r="E207" i="5" s="1"/>
  <c r="D215" i="5"/>
  <c r="E215" i="5" s="1"/>
  <c r="D223" i="5"/>
  <c r="E223" i="5" s="1"/>
  <c r="D231" i="5"/>
  <c r="E231" i="5" s="1"/>
  <c r="D239" i="5"/>
  <c r="E239" i="5" s="1"/>
  <c r="D247" i="5"/>
  <c r="E247" i="5" s="1"/>
  <c r="D255" i="5"/>
  <c r="E255" i="5" s="1"/>
  <c r="D263" i="5"/>
  <c r="E263" i="5" s="1"/>
  <c r="D271" i="5"/>
  <c r="E271" i="5" s="1"/>
  <c r="D279" i="5"/>
  <c r="E279" i="5" s="1"/>
  <c r="D287" i="5"/>
  <c r="E287" i="5" s="1"/>
  <c r="D128" i="5"/>
  <c r="E128" i="5" s="1"/>
  <c r="E9" i="5"/>
  <c r="D17" i="5"/>
  <c r="E17" i="5" s="1"/>
  <c r="D25" i="5"/>
  <c r="E25" i="5" s="1"/>
  <c r="D33" i="5"/>
  <c r="E33" i="5" s="1"/>
  <c r="D41" i="5"/>
  <c r="E41" i="5" s="1"/>
  <c r="D49" i="5"/>
  <c r="E49" i="5" s="1"/>
  <c r="D57" i="5"/>
  <c r="E57" i="5" s="1"/>
  <c r="D65" i="5"/>
  <c r="E65" i="5" s="1"/>
  <c r="D73" i="5"/>
  <c r="E73" i="5" s="1"/>
  <c r="D81" i="5"/>
  <c r="E81" i="5" s="1"/>
  <c r="D89" i="5"/>
  <c r="E89" i="5" s="1"/>
  <c r="D97" i="5"/>
  <c r="E97" i="5" s="1"/>
  <c r="D105" i="5"/>
  <c r="E105" i="5" s="1"/>
  <c r="D113" i="5"/>
  <c r="E113" i="5" s="1"/>
  <c r="D121" i="5"/>
  <c r="E121" i="5" s="1"/>
  <c r="D136" i="5"/>
  <c r="E136" i="5" s="1"/>
  <c r="D144" i="5"/>
  <c r="E144" i="5" s="1"/>
  <c r="D152" i="5"/>
  <c r="E152" i="5" s="1"/>
  <c r="D160" i="5"/>
  <c r="E160" i="5" s="1"/>
  <c r="D168" i="5"/>
  <c r="E168" i="5" s="1"/>
  <c r="D176" i="5"/>
  <c r="E176" i="5" s="1"/>
  <c r="D184" i="5"/>
  <c r="E184" i="5" s="1"/>
  <c r="D192" i="5"/>
  <c r="E192" i="5" s="1"/>
  <c r="D200" i="5"/>
  <c r="E200" i="5" s="1"/>
  <c r="D208" i="5"/>
  <c r="E208" i="5" s="1"/>
  <c r="D216" i="5"/>
  <c r="E216" i="5" s="1"/>
  <c r="D224" i="5"/>
  <c r="E224" i="5" s="1"/>
  <c r="D232" i="5"/>
  <c r="E232" i="5" s="1"/>
  <c r="D240" i="5"/>
  <c r="E240" i="5" s="1"/>
  <c r="D248" i="5"/>
  <c r="E248" i="5" s="1"/>
  <c r="D256" i="5"/>
  <c r="E256" i="5" s="1"/>
  <c r="D264" i="5"/>
  <c r="E264" i="5" s="1"/>
  <c r="D272" i="5"/>
  <c r="E272" i="5" s="1"/>
  <c r="D280" i="5"/>
  <c r="E280" i="5" s="1"/>
  <c r="D288" i="5"/>
  <c r="E288" i="5" s="1"/>
  <c r="D129" i="5"/>
  <c r="E129" i="5" s="1"/>
  <c r="D10" i="5"/>
  <c r="E10" i="5" s="1"/>
  <c r="D18" i="5"/>
  <c r="E18" i="5" s="1"/>
  <c r="D26" i="5"/>
  <c r="E26" i="5" s="1"/>
  <c r="D34" i="5"/>
  <c r="E34" i="5" s="1"/>
  <c r="D42" i="5"/>
  <c r="E42" i="5" s="1"/>
  <c r="D50" i="5"/>
  <c r="E50" i="5" s="1"/>
  <c r="D58" i="5"/>
  <c r="E58" i="5" s="1"/>
  <c r="D66" i="5"/>
  <c r="E66" i="5" s="1"/>
  <c r="D74" i="5"/>
  <c r="E74" i="5" s="1"/>
  <c r="D82" i="5"/>
  <c r="E82" i="5" s="1"/>
  <c r="D90" i="5"/>
  <c r="E90" i="5" s="1"/>
  <c r="D98" i="5"/>
  <c r="E98" i="5" s="1"/>
  <c r="D106" i="5"/>
  <c r="E106" i="5" s="1"/>
  <c r="D114" i="5"/>
  <c r="E114" i="5" s="1"/>
  <c r="D122" i="5"/>
  <c r="E122" i="5" s="1"/>
  <c r="D137" i="5"/>
  <c r="E137" i="5" s="1"/>
  <c r="D145" i="5"/>
  <c r="E145" i="5" s="1"/>
  <c r="D153" i="5"/>
  <c r="E153" i="5" s="1"/>
  <c r="D161" i="5"/>
  <c r="E161" i="5" s="1"/>
  <c r="D169" i="5"/>
  <c r="E169" i="5" s="1"/>
  <c r="D177" i="5"/>
  <c r="E177" i="5" s="1"/>
  <c r="D185" i="5"/>
  <c r="E185" i="5" s="1"/>
  <c r="D193" i="5"/>
  <c r="E193" i="5" s="1"/>
  <c r="D201" i="5"/>
  <c r="E201" i="5" s="1"/>
  <c r="D209" i="5"/>
  <c r="E209" i="5" s="1"/>
  <c r="D217" i="5"/>
  <c r="E217" i="5" s="1"/>
  <c r="D225" i="5"/>
  <c r="E225" i="5" s="1"/>
  <c r="D233" i="5"/>
  <c r="E233" i="5" s="1"/>
  <c r="D241" i="5"/>
  <c r="E241" i="5" s="1"/>
  <c r="D249" i="5"/>
  <c r="E249" i="5" s="1"/>
  <c r="D257" i="5"/>
  <c r="E257" i="5" s="1"/>
  <c r="D265" i="5"/>
  <c r="E265" i="5" s="1"/>
  <c r="D273" i="5"/>
  <c r="E273" i="5" s="1"/>
  <c r="D281" i="5"/>
  <c r="E281" i="5" s="1"/>
  <c r="D130" i="5"/>
  <c r="E130" i="5" s="1"/>
  <c r="D11" i="5"/>
  <c r="E11" i="5" s="1"/>
  <c r="D19" i="5"/>
  <c r="E19" i="5" s="1"/>
  <c r="D27" i="5"/>
  <c r="E27" i="5" s="1"/>
  <c r="D35" i="5"/>
  <c r="E35" i="5" s="1"/>
  <c r="D43" i="5"/>
  <c r="E43" i="5" s="1"/>
  <c r="D51" i="5"/>
  <c r="E51" i="5" s="1"/>
  <c r="D59" i="5"/>
  <c r="E59" i="5" s="1"/>
  <c r="D67" i="5"/>
  <c r="E67" i="5" s="1"/>
  <c r="D75" i="5"/>
  <c r="E75" i="5" s="1"/>
  <c r="D83" i="5"/>
  <c r="E83" i="5" s="1"/>
  <c r="D91" i="5"/>
  <c r="E91" i="5" s="1"/>
  <c r="D99" i="5"/>
  <c r="E99" i="5" s="1"/>
  <c r="D107" i="5"/>
  <c r="E107" i="5" s="1"/>
  <c r="D115" i="5"/>
  <c r="E115" i="5" s="1"/>
  <c r="D123" i="5"/>
  <c r="E123" i="5" s="1"/>
  <c r="D138" i="5"/>
  <c r="E138" i="5" s="1"/>
  <c r="D146" i="5"/>
  <c r="E146" i="5" s="1"/>
  <c r="D154" i="5"/>
  <c r="E154" i="5" s="1"/>
  <c r="D162" i="5"/>
  <c r="E162" i="5" s="1"/>
  <c r="D170" i="5"/>
  <c r="E170" i="5" s="1"/>
  <c r="D178" i="5"/>
  <c r="E178" i="5" s="1"/>
  <c r="D186" i="5"/>
  <c r="E186" i="5" s="1"/>
  <c r="D194" i="5"/>
  <c r="E194" i="5" s="1"/>
  <c r="D202" i="5"/>
  <c r="E202" i="5" s="1"/>
  <c r="D210" i="5"/>
  <c r="E210" i="5" s="1"/>
  <c r="D218" i="5"/>
  <c r="E218" i="5" s="1"/>
  <c r="D226" i="5"/>
  <c r="E226" i="5" s="1"/>
  <c r="D234" i="5"/>
  <c r="E234" i="5" s="1"/>
  <c r="D242" i="5"/>
  <c r="E242" i="5" s="1"/>
  <c r="D250" i="5"/>
  <c r="E250" i="5" s="1"/>
  <c r="D258" i="5"/>
  <c r="E258" i="5" s="1"/>
  <c r="D266" i="5"/>
  <c r="E266" i="5" s="1"/>
  <c r="D274" i="5"/>
  <c r="E274" i="5" s="1"/>
  <c r="D282" i="5"/>
  <c r="E282" i="5" s="1"/>
  <c r="G101" i="4" l="1"/>
  <c r="H101" i="4" s="1"/>
  <c r="L47" i="4"/>
  <c r="L172" i="4"/>
  <c r="D299" i="5"/>
  <c r="H275" i="4"/>
  <c r="H299" i="4" s="1"/>
  <c r="G299" i="4"/>
  <c r="E8" i="5"/>
  <c r="E299" i="5" s="1"/>
  <c r="E23" i="3" l="1"/>
  <c r="G21" i="3"/>
  <c r="G19" i="3"/>
  <c r="G17" i="3"/>
  <c r="G15" i="3"/>
  <c r="G13" i="3"/>
  <c r="G11" i="3"/>
  <c r="G9" i="3"/>
  <c r="G23" i="3" s="1"/>
  <c r="D6" i="3"/>
  <c r="D70" i="2"/>
  <c r="E33" i="2"/>
  <c r="E29" i="2"/>
  <c r="C84" i="2" s="1"/>
  <c r="E84" i="2" s="1"/>
  <c r="D87" i="2"/>
  <c r="E28" i="2"/>
  <c r="C83" i="2" s="1"/>
  <c r="E83" i="2" s="1"/>
  <c r="E27" i="2"/>
  <c r="C82" i="2" s="1"/>
  <c r="E82" i="2" s="1"/>
  <c r="E26" i="2"/>
  <c r="C81" i="2" s="1"/>
  <c r="E81" i="2" s="1"/>
  <c r="E25" i="2"/>
  <c r="C80" i="2" s="1"/>
  <c r="E80" i="2" s="1"/>
  <c r="E24" i="2"/>
  <c r="C79" i="2" s="1"/>
  <c r="E79" i="2" s="1"/>
  <c r="E23" i="2"/>
  <c r="C78" i="2" s="1"/>
  <c r="E78" i="2" s="1"/>
  <c r="E22" i="2"/>
  <c r="C77" i="2" s="1"/>
  <c r="E77" i="2" s="1"/>
  <c r="E21" i="2"/>
  <c r="C76" i="2" s="1"/>
  <c r="E76" i="2" s="1"/>
  <c r="E20" i="2"/>
  <c r="C75" i="2" s="1"/>
  <c r="E75" i="2" s="1"/>
  <c r="E19" i="2"/>
  <c r="C74" i="2" s="1"/>
  <c r="E74" i="2" s="1"/>
  <c r="D32" i="2"/>
  <c r="C32" i="2"/>
  <c r="E16" i="2"/>
  <c r="E15" i="2"/>
  <c r="E13" i="2"/>
  <c r="D12" i="2"/>
  <c r="E12" i="2" s="1"/>
  <c r="C68" i="2" s="1"/>
  <c r="E68" i="2" s="1"/>
  <c r="D11" i="2"/>
  <c r="E11" i="2" s="1"/>
  <c r="C67" i="2" s="1"/>
  <c r="E67" i="2" s="1"/>
  <c r="E10" i="2"/>
  <c r="C66" i="2" s="1"/>
  <c r="E66" i="2" s="1"/>
  <c r="E9" i="2"/>
  <c r="C65" i="2" s="1"/>
  <c r="E65" i="2" s="1"/>
  <c r="E8" i="2"/>
  <c r="C64" i="2" s="1"/>
  <c r="E64" i="2" s="1"/>
  <c r="E7" i="2"/>
  <c r="C63" i="2" s="1"/>
  <c r="E63" i="2" s="1"/>
  <c r="E6" i="2"/>
  <c r="C62" i="2" s="1"/>
  <c r="E62" i="2" s="1"/>
  <c r="D99" i="1"/>
  <c r="D89" i="1"/>
  <c r="D101" i="1" s="1"/>
  <c r="D78" i="1"/>
  <c r="C70" i="2" l="1"/>
  <c r="E70" i="2" s="1"/>
  <c r="D14" i="2"/>
  <c r="D89" i="2"/>
  <c r="D34" i="2"/>
  <c r="E18" i="2"/>
  <c r="C14" i="2"/>
  <c r="E32" i="2" l="1"/>
  <c r="C73" i="2"/>
  <c r="E14" i="2"/>
  <c r="C34" i="2"/>
  <c r="E34" i="2" s="1"/>
  <c r="E73" i="2" l="1"/>
  <c r="C87" i="2"/>
  <c r="E38" i="1"/>
  <c r="D37" i="1"/>
  <c r="C37" i="1"/>
  <c r="E36" i="1"/>
  <c r="C98" i="1" s="1"/>
  <c r="F98" i="1" s="1"/>
  <c r="E35" i="1"/>
  <c r="C97" i="1" s="1"/>
  <c r="F97" i="1" s="1"/>
  <c r="E34" i="1"/>
  <c r="C96" i="1" s="1"/>
  <c r="F96" i="1" s="1"/>
  <c r="E33" i="1"/>
  <c r="C95" i="1" s="1"/>
  <c r="F95" i="1" s="1"/>
  <c r="E32" i="1"/>
  <c r="C94" i="1" s="1"/>
  <c r="F94" i="1" s="1"/>
  <c r="E31" i="1"/>
  <c r="C93" i="1" s="1"/>
  <c r="F93" i="1" s="1"/>
  <c r="E30" i="1"/>
  <c r="C92" i="1" s="1"/>
  <c r="E29" i="1"/>
  <c r="E28" i="1"/>
  <c r="D27" i="1"/>
  <c r="E26" i="1"/>
  <c r="C88" i="1" s="1"/>
  <c r="F88" i="1" s="1"/>
  <c r="E25" i="1"/>
  <c r="C87" i="1" s="1"/>
  <c r="F87" i="1" s="1"/>
  <c r="E24" i="1"/>
  <c r="C86" i="1" s="1"/>
  <c r="F86" i="1" s="1"/>
  <c r="E23" i="1"/>
  <c r="C85" i="1" s="1"/>
  <c r="F85" i="1" s="1"/>
  <c r="C27" i="1"/>
  <c r="E21" i="1"/>
  <c r="C83" i="1" s="1"/>
  <c r="E20" i="1"/>
  <c r="C82" i="1" s="1"/>
  <c r="F82" i="1" s="1"/>
  <c r="E19" i="1"/>
  <c r="E18" i="1"/>
  <c r="E17" i="1"/>
  <c r="D16" i="1"/>
  <c r="E15" i="1"/>
  <c r="C77" i="1" s="1"/>
  <c r="F77" i="1" s="1"/>
  <c r="E14" i="1"/>
  <c r="C76" i="1" s="1"/>
  <c r="F76" i="1" s="1"/>
  <c r="E13" i="1"/>
  <c r="C75" i="1" s="1"/>
  <c r="F75" i="1" s="1"/>
  <c r="E12" i="1"/>
  <c r="C74" i="1" s="1"/>
  <c r="F74" i="1" s="1"/>
  <c r="E11" i="1"/>
  <c r="C73" i="1" s="1"/>
  <c r="F73" i="1" s="1"/>
  <c r="E10" i="1"/>
  <c r="C72" i="1" s="1"/>
  <c r="F72" i="1" s="1"/>
  <c r="E9" i="1"/>
  <c r="C71" i="1" s="1"/>
  <c r="F71" i="1" s="1"/>
  <c r="C16" i="1"/>
  <c r="E7" i="1"/>
  <c r="C69" i="1" s="1"/>
  <c r="F92" i="1" l="1"/>
  <c r="C99" i="1"/>
  <c r="F99" i="1" s="1"/>
  <c r="E87" i="2"/>
  <c r="C89" i="2"/>
  <c r="E89" i="2" s="1"/>
  <c r="F83" i="1"/>
  <c r="F69" i="1"/>
  <c r="C78" i="1"/>
  <c r="F78" i="1" s="1"/>
  <c r="D39" i="1"/>
  <c r="E37" i="1"/>
  <c r="E16" i="1"/>
  <c r="E27" i="1"/>
  <c r="C39" i="1"/>
  <c r="E39" i="1" s="1"/>
  <c r="E22" i="1"/>
  <c r="C84" i="1" s="1"/>
  <c r="F84" i="1" s="1"/>
  <c r="E8" i="1"/>
  <c r="C70" i="1" s="1"/>
  <c r="F70" i="1" s="1"/>
  <c r="C89" i="1" l="1"/>
  <c r="C101" i="1" s="1"/>
  <c r="F101" i="1" s="1"/>
  <c r="F89" i="1" l="1"/>
</calcChain>
</file>

<file path=xl/sharedStrings.xml><?xml version="1.0" encoding="utf-8"?>
<sst xmlns="http://schemas.openxmlformats.org/spreadsheetml/2006/main" count="893" uniqueCount="429">
  <si>
    <t>NERACA KKP LIDIA GKJ MANAHAN</t>
  </si>
  <si>
    <t>KETERANGAN</t>
  </si>
  <si>
    <t>NERACA</t>
  </si>
  <si>
    <t>NERACA TOKO</t>
  </si>
  <si>
    <t>NERACA KONSOLIDASI</t>
  </si>
  <si>
    <t>PER 31 DES 2024</t>
  </si>
  <si>
    <t>AKTIVA</t>
  </si>
  <si>
    <t>Kas</t>
  </si>
  <si>
    <t>Tabungan</t>
  </si>
  <si>
    <t xml:space="preserve">Deposito </t>
  </si>
  <si>
    <t>Piutang Usaha</t>
  </si>
  <si>
    <t>Cadangan Kerugian Piutang</t>
  </si>
  <si>
    <t>Persediaan Barang Dagangan</t>
  </si>
  <si>
    <t>Uang Muka Pajak</t>
  </si>
  <si>
    <t>Inventaris Kantor</t>
  </si>
  <si>
    <t>Akumulasi Peny Inventaris Kantor</t>
  </si>
  <si>
    <t>TOTAL  AKTIVA</t>
  </si>
  <si>
    <t>PASIVA</t>
  </si>
  <si>
    <t>HUTANG</t>
  </si>
  <si>
    <t>Hutang Pajak</t>
  </si>
  <si>
    <t>Simpanan Sukarela</t>
  </si>
  <si>
    <t>Simpanan Khusus/ CRK</t>
  </si>
  <si>
    <t xml:space="preserve">Titipan </t>
  </si>
  <si>
    <t>Rupa-rupa Pasiva</t>
  </si>
  <si>
    <t>Cadangan Dana Pelatihan &amp; Pendidikan</t>
  </si>
  <si>
    <t>Cadangan Dana Pengembangan Usaha</t>
  </si>
  <si>
    <t>TOTAL HUTANG</t>
  </si>
  <si>
    <t>MODAL</t>
  </si>
  <si>
    <t>Saham/ Simpanan Pokok</t>
  </si>
  <si>
    <t>Simpanan Wajib</t>
  </si>
  <si>
    <t>Hibah</t>
  </si>
  <si>
    <t>Cadangan Umum</t>
  </si>
  <si>
    <t>Modal Toko</t>
  </si>
  <si>
    <t>Laba yang ditahan</t>
  </si>
  <si>
    <t>Laba/Rugi Tahun berjalan</t>
  </si>
  <si>
    <t>TOTAL MODAL</t>
  </si>
  <si>
    <t>TOTAL PASIVA</t>
  </si>
  <si>
    <t>KETUA</t>
  </si>
  <si>
    <t>BENDAHARA</t>
  </si>
  <si>
    <t>PENGAWAS</t>
  </si>
  <si>
    <t>DINA WAHYU HAPSARI, S.SOS</t>
  </si>
  <si>
    <t>DWI OKTARINA T.E.</t>
  </si>
  <si>
    <t>HERNAWATI PRAMESTI</t>
  </si>
  <si>
    <t>HERU SUCIATI</t>
  </si>
  <si>
    <t>ANNA MARIANA U, SE</t>
  </si>
  <si>
    <t>HEPPY WIDOWATI</t>
  </si>
  <si>
    <t>DWI WURYANINGSIH</t>
  </si>
  <si>
    <t>IR. S. TUTIMANA</t>
  </si>
  <si>
    <t>TUTY ASMARAYANI</t>
  </si>
  <si>
    <t>(DISAJIKAN SECARA KOMPARATIF )</t>
  </si>
  <si>
    <t>NO.</t>
  </si>
  <si>
    <t xml:space="preserve">RUGI/LABA </t>
  </si>
  <si>
    <t xml:space="preserve">RUGI LABA </t>
  </si>
  <si>
    <t>TOKO LIDIA</t>
  </si>
  <si>
    <t>KONSOLIDASI</t>
  </si>
  <si>
    <t>PENDAPATAN</t>
  </si>
  <si>
    <t>Pendapatan Bunga Pinjaman</t>
  </si>
  <si>
    <t>Denda Pinjaman</t>
  </si>
  <si>
    <t>Pendapatan Provisi</t>
  </si>
  <si>
    <t xml:space="preserve">Pendapatan Lain </t>
  </si>
  <si>
    <t xml:space="preserve">Pendapatan Toko </t>
  </si>
  <si>
    <t>Pendapatan Bunga Bank</t>
  </si>
  <si>
    <t>Pendapatan Bunga Deposito</t>
  </si>
  <si>
    <t>Jumlah Pendapatan</t>
  </si>
  <si>
    <t>BIAYA-BIAYA</t>
  </si>
  <si>
    <t>Pembelian Barang Dagang</t>
  </si>
  <si>
    <t>Biaya Administrasi Kantor</t>
  </si>
  <si>
    <t>Biaya Administrasi Toko</t>
  </si>
  <si>
    <t>Biaya RAT</t>
  </si>
  <si>
    <t>Biaya Administrasi Bank</t>
  </si>
  <si>
    <t>Pajak Bunga Bank</t>
  </si>
  <si>
    <t>Sumbangan/ Persembahan</t>
  </si>
  <si>
    <t>Biaya Penyusutan Inventaris Kantor</t>
  </si>
  <si>
    <t>Biaya Rapat Pengurus</t>
  </si>
  <si>
    <t>Biaya Perkoperasian</t>
  </si>
  <si>
    <t>Biaya Operasional Lain</t>
  </si>
  <si>
    <t>Harga Pokok Penjualan</t>
  </si>
  <si>
    <t>Transpot toko</t>
  </si>
  <si>
    <t>Biaya Transportasi</t>
  </si>
  <si>
    <t>Pajak PPH 29</t>
  </si>
  <si>
    <t>Jumlah Biaya</t>
  </si>
  <si>
    <t>LABA USAHA</t>
  </si>
  <si>
    <t>1 JAN S/D 31 DES 2024</t>
  </si>
  <si>
    <t>KKP LIDIA GKJ MANAHAN</t>
  </si>
  <si>
    <t>Laba Tahun Lalu</t>
  </si>
  <si>
    <t>Laba Tahun Berjalan</t>
  </si>
  <si>
    <t>Dibulatkan</t>
  </si>
  <si>
    <t>a</t>
  </si>
  <si>
    <t>b</t>
  </si>
  <si>
    <t xml:space="preserve">Dana Pendidikan &amp; Pelatihan </t>
  </si>
  <si>
    <t>c</t>
  </si>
  <si>
    <t>Cadangan Resiko Kredit Piutang</t>
  </si>
  <si>
    <t>d</t>
  </si>
  <si>
    <t>Honorarium Pengurus &amp; Pengawas</t>
  </si>
  <si>
    <t>e</t>
  </si>
  <si>
    <t>Persembahan ke GKJ Manahan</t>
  </si>
  <si>
    <t>f</t>
  </si>
  <si>
    <t>SHU Anggota untuk Simpanan</t>
  </si>
  <si>
    <t>g</t>
  </si>
  <si>
    <t xml:space="preserve">SHU Anggota untuk Pinjaman </t>
  </si>
  <si>
    <t>Mengetahui</t>
  </si>
  <si>
    <t>Pengurus KKP LIDIA GKJ MANAHAN</t>
  </si>
  <si>
    <t xml:space="preserve">KETUA </t>
  </si>
  <si>
    <t xml:space="preserve">SEKRETARIS </t>
  </si>
  <si>
    <t>DINA WAHYU HAPSARI, S.  Sos</t>
  </si>
  <si>
    <t>NIRA WIJAYA</t>
  </si>
  <si>
    <t>DWI OKTARINA T.E</t>
  </si>
  <si>
    <t>LAPORAN KEUANGAN KKP LIDIA GKJ MANAHAN</t>
  </si>
  <si>
    <t>SHU Tabungan</t>
  </si>
  <si>
    <t>Th 2024</t>
  </si>
  <si>
    <t>No.</t>
  </si>
  <si>
    <t>Nama</t>
  </si>
  <si>
    <t>Tabungan Pokok</t>
  </si>
  <si>
    <t>Tabungan Wajib</t>
  </si>
  <si>
    <t>Tabungan Sukarela</t>
  </si>
  <si>
    <t>Total</t>
  </si>
  <si>
    <t>SHU</t>
  </si>
  <si>
    <t>SHU Dibagi</t>
  </si>
  <si>
    <t>Warsini</t>
  </si>
  <si>
    <t>Suwarni</t>
  </si>
  <si>
    <t xml:space="preserve"> Wagiyem  (meninggal)</t>
  </si>
  <si>
    <t>Nuk Sunaryo (Meninggal)</t>
  </si>
  <si>
    <t>Wahyuni</t>
  </si>
  <si>
    <t>Sri Mulyati</t>
  </si>
  <si>
    <t xml:space="preserve">Sri Lestari </t>
  </si>
  <si>
    <t xml:space="preserve">E Sunarti </t>
  </si>
  <si>
    <t xml:space="preserve">IM Suratmi </t>
  </si>
  <si>
    <t xml:space="preserve">Sukiyem </t>
  </si>
  <si>
    <t>Sri Hartuti</t>
  </si>
  <si>
    <t>Pani Sakuncoro (meninggal)</t>
  </si>
  <si>
    <t>Maryati(Blok 13 )</t>
  </si>
  <si>
    <t>Sri Kandi (meninggal)</t>
  </si>
  <si>
    <t>Rini Hudyastuti</t>
  </si>
  <si>
    <t>Mariyam.S</t>
  </si>
  <si>
    <t>Eni Sulastri</t>
  </si>
  <si>
    <t xml:space="preserve">Sri Saptariningtyas </t>
  </si>
  <si>
    <t xml:space="preserve">Sri Puji Rahayu </t>
  </si>
  <si>
    <t xml:space="preserve">Satyaning H </t>
  </si>
  <si>
    <t>Ari Sulastri</t>
  </si>
  <si>
    <t xml:space="preserve">Tri Sudarwati </t>
  </si>
  <si>
    <t>Sigit  Suwasti</t>
  </si>
  <si>
    <t>Titisari Arum C</t>
  </si>
  <si>
    <t>Sudarmini Samuel</t>
  </si>
  <si>
    <t xml:space="preserve"> Purwanti Yuni A </t>
  </si>
  <si>
    <t xml:space="preserve">Sri Handayani </t>
  </si>
  <si>
    <t xml:space="preserve"> Ngatiyem (meninggal)</t>
  </si>
  <si>
    <t xml:space="preserve"> Sri Salami</t>
  </si>
  <si>
    <t xml:space="preserve"> Tri Murindah (Meninggal)</t>
  </si>
  <si>
    <t>Eny Kusmiyarsi {Keluar)</t>
  </si>
  <si>
    <t>Indahtri</t>
  </si>
  <si>
    <t>Sriwahyuningsih</t>
  </si>
  <si>
    <t xml:space="preserve">Kariyem </t>
  </si>
  <si>
    <t>Darsono ( Keluar )</t>
  </si>
  <si>
    <t>Endang Widayati (Meninggal)</t>
  </si>
  <si>
    <t xml:space="preserve">Supraptiningsih </t>
  </si>
  <si>
    <t>Meta Anastasia P</t>
  </si>
  <si>
    <t>Christina Yuniarti, AMD</t>
  </si>
  <si>
    <t>Dina Wahyu H</t>
  </si>
  <si>
    <t xml:space="preserve">Primarini Yuli </t>
  </si>
  <si>
    <t>Suparji Rahayu(VII)</t>
  </si>
  <si>
    <t>Revi Indresti ( Keluar )</t>
  </si>
  <si>
    <t>Wikan Pawitra Hapsari</t>
  </si>
  <si>
    <t>Tri Hapsari</t>
  </si>
  <si>
    <t>Antonia Sri Darwati</t>
  </si>
  <si>
    <t>Yamtini ( Keluar)</t>
  </si>
  <si>
    <t>Retno Sulistyowati</t>
  </si>
  <si>
    <t>Rut Sri Sumarni (keluar )</t>
  </si>
  <si>
    <t>Pdt Retno Ratih</t>
  </si>
  <si>
    <t>Handiyani Sri Wasiati</t>
  </si>
  <si>
    <t>Tri Utami</t>
  </si>
  <si>
    <t>Tri Purnama Laksmiwati</t>
  </si>
  <si>
    <t>Endang Sukarno (meninggal)</t>
  </si>
  <si>
    <t>Djuminah</t>
  </si>
  <si>
    <t>Endang Murwati</t>
  </si>
  <si>
    <t>Debora Dwi P</t>
  </si>
  <si>
    <t>EMI purwaningsih</t>
  </si>
  <si>
    <t>Mutini (meninggal)</t>
  </si>
  <si>
    <t>Dewi Indaryanti</t>
  </si>
  <si>
    <t>Widyarti Riani</t>
  </si>
  <si>
    <t>Sarmini</t>
  </si>
  <si>
    <t>Ratih Prasetyani Dewi</t>
  </si>
  <si>
    <t>Sri Wahyuningrawati</t>
  </si>
  <si>
    <t>Yuni Prihati</t>
  </si>
  <si>
    <t>Henny Dwi A</t>
  </si>
  <si>
    <t>Heny K/ (meninggal)</t>
  </si>
  <si>
    <t>Ariastuti Dyah S</t>
  </si>
  <si>
    <t>Rusiana</t>
  </si>
  <si>
    <t>Setyowati</t>
  </si>
  <si>
    <t>Sarwi Asri</t>
  </si>
  <si>
    <t>Mira Parida</t>
  </si>
  <si>
    <t>Sari Handayani</t>
  </si>
  <si>
    <t>Maryani</t>
  </si>
  <si>
    <t>Sri Hartati</t>
  </si>
  <si>
    <t>Ani Nursanti</t>
  </si>
  <si>
    <t>Warsiati</t>
  </si>
  <si>
    <t>Suharni</t>
  </si>
  <si>
    <t>Gir Sri Mulyani (keluar)</t>
  </si>
  <si>
    <t>Marini</t>
  </si>
  <si>
    <t>Katharina sih M</t>
  </si>
  <si>
    <t>Christiyanti</t>
  </si>
  <si>
    <t>Widi Asmarani</t>
  </si>
  <si>
    <t>Sri Rahayu( Blk 13 )</t>
  </si>
  <si>
    <t>Sri Hutami Hantoro</t>
  </si>
  <si>
    <t>Endang Setyati(  III)</t>
  </si>
  <si>
    <t>S. Tutimana (XV)</t>
  </si>
  <si>
    <t>Tien Supartinah</t>
  </si>
  <si>
    <t>Endang Endhitia</t>
  </si>
  <si>
    <t>Nira Wijaya</t>
  </si>
  <si>
    <t>Fitria  Andriani</t>
  </si>
  <si>
    <t>Laksmi Handayati (XI)</t>
  </si>
  <si>
    <t>Noveria WP (XIII)</t>
  </si>
  <si>
    <t>Suwarti Bintardi (III)</t>
  </si>
  <si>
    <t>Sri Winuryani</t>
  </si>
  <si>
    <t>Priscilla Hutapea</t>
  </si>
  <si>
    <t>Gensi Sulistijati</t>
  </si>
  <si>
    <t>Eddy Puji Saraswati</t>
  </si>
  <si>
    <t>Tatiek Hartati</t>
  </si>
  <si>
    <t>Tri Hartati</t>
  </si>
  <si>
    <t>Hernawati</t>
  </si>
  <si>
    <t>Ninik Retno Indriastini(IV)</t>
  </si>
  <si>
    <t>Heru Suciati</t>
  </si>
  <si>
    <t>Sri Sarini</t>
  </si>
  <si>
    <t>Sri Kiswati</t>
  </si>
  <si>
    <t>Christina Irianti ( I )</t>
  </si>
  <si>
    <t>Tuti Gunawan M( I )</t>
  </si>
  <si>
    <t>Sri Kristini ( XV )</t>
  </si>
  <si>
    <t>Partijah Kamsi Y ( V )</t>
  </si>
  <si>
    <t>Mar Santosa</t>
  </si>
  <si>
    <t>Kristiani Yuni Pramawati</t>
  </si>
  <si>
    <t>RAY. Atmini Soejanto</t>
  </si>
  <si>
    <t>Vita Tommi Cahyo</t>
  </si>
  <si>
    <t>Poedji Wasanani</t>
  </si>
  <si>
    <t>Sumarni</t>
  </si>
  <si>
    <t>Yamtinah</t>
  </si>
  <si>
    <t>Dwi Oktarina</t>
  </si>
  <si>
    <t>Ratna Hendrasari</t>
  </si>
  <si>
    <t>Ivid kristyana S ( ii )</t>
  </si>
  <si>
    <t>Dra Trisilawati</t>
  </si>
  <si>
    <t>Dian Lestari</t>
  </si>
  <si>
    <t>Sumiyati Sukardi</t>
  </si>
  <si>
    <t>Muryani Suwardi ( VIII )</t>
  </si>
  <si>
    <t>Yulia Putri Asih</t>
  </si>
  <si>
    <t>Agnesia Rimawati</t>
  </si>
  <si>
    <t>Emmi Mahendrarini P</t>
  </si>
  <si>
    <t>Bernadetta M Cahya Putri</t>
  </si>
  <si>
    <t>Tri Murti</t>
  </si>
  <si>
    <t>Maryam Sampurno</t>
  </si>
  <si>
    <t>Gaibbi Anti Gestavu</t>
  </si>
  <si>
    <t>Tatiek  Sri Riyanti</t>
  </si>
  <si>
    <t>Marsetyarini</t>
  </si>
  <si>
    <t>Riawati Andriani.R</t>
  </si>
  <si>
    <t>Elly Sri Partini</t>
  </si>
  <si>
    <t>SRI Wirastini (Meninggal)</t>
  </si>
  <si>
    <t>Agustyn.M</t>
  </si>
  <si>
    <t>Soetini ( Blok 3 )</t>
  </si>
  <si>
    <t>Dwi Hastuti (Meninggal)</t>
  </si>
  <si>
    <t>Desti Ayu.S (Blok II )</t>
  </si>
  <si>
    <t>Yunani Sukamto ( XIV )</t>
  </si>
  <si>
    <t>W.Astuty, S.MISS (J.Suprapto)</t>
  </si>
  <si>
    <t>Sri Karyani</t>
  </si>
  <si>
    <t>Sri Rejeki</t>
  </si>
  <si>
    <t>Galuh Iswayanti</t>
  </si>
  <si>
    <t>Chrislyna Retno Lestari</t>
  </si>
  <si>
    <t>Sri Rahayu Dharsono ( X )</t>
  </si>
  <si>
    <t>Wara Harinten</t>
  </si>
  <si>
    <t>Sri Harni Wimbono</t>
  </si>
  <si>
    <t>CH Surani ( VI )</t>
  </si>
  <si>
    <t>Pudji Sih lestari,B.A (keluar)</t>
  </si>
  <si>
    <t>Darmini Indiyaningsih</t>
  </si>
  <si>
    <t>Dwiningsih Kristi Setyowati</t>
  </si>
  <si>
    <t>Bethani Ratih</t>
  </si>
  <si>
    <t>Rita Indriwati</t>
  </si>
  <si>
    <t>Rima Andriani</t>
  </si>
  <si>
    <t>Pinto Nugrahaningsih</t>
  </si>
  <si>
    <t>Dewi Maryani</t>
  </si>
  <si>
    <t>Suhartiningsih</t>
  </si>
  <si>
    <t>Dwi Wuryaningsih</t>
  </si>
  <si>
    <t>Tri Ismaryani</t>
  </si>
  <si>
    <t>Sumiyati (Keluar)</t>
  </si>
  <si>
    <t>Widyaningrum (Koster)</t>
  </si>
  <si>
    <t>Mutiara Reunica Derry</t>
  </si>
  <si>
    <t>Noer Endah Narimaningsih</t>
  </si>
  <si>
    <t>Ema Kusumawati</t>
  </si>
  <si>
    <t>Sri Sulami ( keluar )</t>
  </si>
  <si>
    <t>Tuty Asmarayani</t>
  </si>
  <si>
    <t>Wahyu Warastuti Handayani</t>
  </si>
  <si>
    <t>Suharti Muri</t>
  </si>
  <si>
    <t>Pratiwi Indriani (meninggal)</t>
  </si>
  <si>
    <t>Sri Utami</t>
  </si>
  <si>
    <t>Sudarmi</t>
  </si>
  <si>
    <t>Kus Sri Sayekti</t>
  </si>
  <si>
    <t>Padnawati</t>
  </si>
  <si>
    <t>Dwi Hendrati</t>
  </si>
  <si>
    <t>Rita Adiningsih</t>
  </si>
  <si>
    <t>Dartini</t>
  </si>
  <si>
    <t>Theresia Sri Handayani</t>
  </si>
  <si>
    <t>Sri Kusrahayu</t>
  </si>
  <si>
    <t>Fitria Galuh Hapsari</t>
  </si>
  <si>
    <t>Christiana Ratri Yuliani</t>
  </si>
  <si>
    <t>Woro Sujiatmi</t>
  </si>
  <si>
    <t>Prihatin Ellyastuti</t>
  </si>
  <si>
    <t>Wisaptini</t>
  </si>
  <si>
    <t>Kristina Dewi Intan</t>
  </si>
  <si>
    <t>Agustina Setyowati</t>
  </si>
  <si>
    <t>Kris Sudarti (Keluar)</t>
  </si>
  <si>
    <t>Ery Kusumastuti</t>
  </si>
  <si>
    <t>Apsari Dwi Martini</t>
  </si>
  <si>
    <t>Tatik Srijati</t>
  </si>
  <si>
    <t>Wenny Widiyastuti</t>
  </si>
  <si>
    <t>Anna Mariana Utariningsih</t>
  </si>
  <si>
    <t>Sriyatun</t>
  </si>
  <si>
    <t>Sri Istari</t>
  </si>
  <si>
    <t>Noer Bijanti,S.Sos</t>
  </si>
  <si>
    <t>Sri Sunarningsih</t>
  </si>
  <si>
    <t>Elisabeth Sulistyaningrum</t>
  </si>
  <si>
    <t>Yuni Kurniawati</t>
  </si>
  <si>
    <t>Siwi Andaruningtyas</t>
  </si>
  <si>
    <t>Viona Widya Thalenta</t>
  </si>
  <si>
    <t xml:space="preserve"> Sumarni</t>
  </si>
  <si>
    <t>Satriyati (keluar)</t>
  </si>
  <si>
    <t>Diah Ekorini</t>
  </si>
  <si>
    <t>Ria Defita Triningsih (keluar)</t>
  </si>
  <si>
    <t>Henny Kurniawaty</t>
  </si>
  <si>
    <t>Tetty Fitriana Kuntari</t>
  </si>
  <si>
    <t>Christeria TWH</t>
  </si>
  <si>
    <t>Giyarni</t>
  </si>
  <si>
    <t>Sri Budi Darwiyanti</t>
  </si>
  <si>
    <t>Berna Detta Fitriwardhani</t>
  </si>
  <si>
    <t>Kristiani Widyastuti</t>
  </si>
  <si>
    <t>Suyanti (meninggal)</t>
  </si>
  <si>
    <t>Trisni Sejati</t>
  </si>
  <si>
    <t>Mujiasih</t>
  </si>
  <si>
    <t>Puspita Handarsari</t>
  </si>
  <si>
    <t>Indyah Kuswinarni</t>
  </si>
  <si>
    <t>Sri Subekti</t>
  </si>
  <si>
    <t>Yuti Pramesti</t>
  </si>
  <si>
    <t>Ani Oktavia</t>
  </si>
  <si>
    <t>Ruminah</t>
  </si>
  <si>
    <t>Christina Nuraini</t>
  </si>
  <si>
    <t>Titik Relawati</t>
  </si>
  <si>
    <t>Rumini Asih</t>
  </si>
  <si>
    <t>Fransisca Kusumastuty</t>
  </si>
  <si>
    <t>Endang Warsiti</t>
  </si>
  <si>
    <t>Sri Saptorini Herwati</t>
  </si>
  <si>
    <t>Heppy Widowati</t>
  </si>
  <si>
    <t>Yenie Yulian,SE</t>
  </si>
  <si>
    <t>DRH Ambarsitaresmi Fifi,S</t>
  </si>
  <si>
    <t>K.Wulandary</t>
  </si>
  <si>
    <t>Lewi Ayu Sawitri</t>
  </si>
  <si>
    <t>Petty Tri Handayani</t>
  </si>
  <si>
    <t>Dwi Ratri Kartikoningsih</t>
  </si>
  <si>
    <t>Niken Satiti</t>
  </si>
  <si>
    <t>Yohana Sunarti</t>
  </si>
  <si>
    <t>Retno Hartati</t>
  </si>
  <si>
    <t>Neti Nur Indriastuti</t>
  </si>
  <si>
    <t>Endah Budiyanti</t>
  </si>
  <si>
    <t>Augustina Retno Hamranani</t>
  </si>
  <si>
    <t>Agustina Ariyanti</t>
  </si>
  <si>
    <t>Suparmi</t>
  </si>
  <si>
    <t>Tumini (Meninggal)</t>
  </si>
  <si>
    <t>Ryeka Hertiena.E</t>
  </si>
  <si>
    <t>Pritta Cahyaning Putri</t>
  </si>
  <si>
    <t>Atien Andriani</t>
  </si>
  <si>
    <t>Tanti Wahyuni</t>
  </si>
  <si>
    <t>Sri Marwani</t>
  </si>
  <si>
    <t>Surti</t>
  </si>
  <si>
    <t xml:space="preserve">Tri Mulyani </t>
  </si>
  <si>
    <t>Endang Haryatmi</t>
  </si>
  <si>
    <t>Sih Widhi Retno Wulandari</t>
  </si>
  <si>
    <t>Dian Indarwati Pratiwi</t>
  </si>
  <si>
    <t>Badriyah</t>
  </si>
  <si>
    <t>Widati</t>
  </si>
  <si>
    <t>Lilys Suryani Herlambang</t>
  </si>
  <si>
    <t>Sunani Purwaningsih</t>
  </si>
  <si>
    <t>Tita Chasiati</t>
  </si>
  <si>
    <t>Dewi Susanti</t>
  </si>
  <si>
    <t>Haryati,S.Pd</t>
  </si>
  <si>
    <t>Endang Setia Muliawati</t>
  </si>
  <si>
    <t>Tamiyem</t>
  </si>
  <si>
    <t>Santi Kristiawati</t>
  </si>
  <si>
    <t>Fransisca Dewi</t>
  </si>
  <si>
    <t>Riyatin Novi .S (Keluar )</t>
  </si>
  <si>
    <t>Rahayu Iswundari</t>
  </si>
  <si>
    <t>Krismayawati</t>
  </si>
  <si>
    <t>Natalina Tri Nugraheny, ST</t>
  </si>
  <si>
    <t>Abigael Josephine Kusumatuty</t>
  </si>
  <si>
    <t>Fera Rosita</t>
  </si>
  <si>
    <t>Esther Wijayanti</t>
  </si>
  <si>
    <t>Sarmini Blok 10</t>
  </si>
  <si>
    <t>Azalia Agnes Wulandari</t>
  </si>
  <si>
    <t>Anna Christi Mahanani</t>
  </si>
  <si>
    <t>Kerub Dion Sihwening N</t>
  </si>
  <si>
    <t>Kristyani Widyatnanti, S,E</t>
  </si>
  <si>
    <t>Arum Kismaharini</t>
  </si>
  <si>
    <t>Artika Rut Damayanti</t>
  </si>
  <si>
    <t>Widyastuti Murti Nugroho</t>
  </si>
  <si>
    <t>Nining Kusuratningsih</t>
  </si>
  <si>
    <t>Maria Oktaviani Sidabutar</t>
  </si>
  <si>
    <t>Mardiastuti</t>
  </si>
  <si>
    <t>Jumlah</t>
  </si>
  <si>
    <t xml:space="preserve">SHU Pinjaman </t>
  </si>
  <si>
    <t xml:space="preserve">Saldo Pinjaman </t>
  </si>
  <si>
    <t>Suyanti</t>
  </si>
  <si>
    <t xml:space="preserve">PENGURUS </t>
  </si>
  <si>
    <t>IR. SETYANINGTYAS TUTIMANA</t>
  </si>
  <si>
    <t>NERACA KSU LIDIA GKJ MANAHAN</t>
  </si>
  <si>
    <t xml:space="preserve">KSU LIDIA GKJ MANAHAN </t>
  </si>
  <si>
    <t>PER 31 DESEMBER 2025 (TAHUNAN)</t>
  </si>
  <si>
    <t>PER 31 DES 2025</t>
  </si>
  <si>
    <t>1 JAN S/D 31 DES 2025</t>
  </si>
  <si>
    <t>PER 31 DESEMBER 2025</t>
  </si>
  <si>
    <t>PEMBAGIAN SISA HASIL USAHA TAHUN BUKU 2025</t>
  </si>
  <si>
    <t>Th 2025</t>
  </si>
  <si>
    <t>Budiati Sinung Nugraheni</t>
  </si>
  <si>
    <t>Dwi Somori Dyah Hardjanti</t>
  </si>
  <si>
    <t>Isnani Yulia Widayati</t>
  </si>
  <si>
    <t>Hendriwati</t>
  </si>
  <si>
    <t>Indah Kartika Sari</t>
  </si>
  <si>
    <t xml:space="preserve">Rika Devi Yossita </t>
  </si>
  <si>
    <t>Sri Sunarminingsih</t>
  </si>
  <si>
    <t>Marliana Dwi Hastuti</t>
  </si>
  <si>
    <t>Elisa Dewi Fitawati</t>
  </si>
  <si>
    <t>RUGI/LABA PERIODE 1 JANUARI S/D 31 DESEMBER 2025 (TAHUNAN)</t>
  </si>
  <si>
    <t xml:space="preserve">RUGI/LABA PERIODE 1 JANUARI S/D 31 DESEMBER 2025 </t>
  </si>
  <si>
    <t>(DISAJIKAN SECARA KOMPARATIF)</t>
  </si>
  <si>
    <t>Biaya Administrasi</t>
  </si>
  <si>
    <t xml:space="preserve">Biaya Administrasi </t>
  </si>
  <si>
    <t>PER 31 DESEMBER 20245</t>
  </si>
  <si>
    <t>RUGI/LABA PERIODE 1 JANUARI S/D 31 DESEMBER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</si>
</sst>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_);_(@_)"/>
    <numFmt numFmtId="165" formatCode="_-* #,##0.000_-;\-* #,##0.000_-;_-* &quot;-&quot;_-;_-@_-"/>
    <numFmt numFmtId="166" formatCode="_-* #,##0.000_-;\-* #,##0.000_-;_-* &quot;-&quot;???_-;_-@_-"/>
    <numFmt numFmtId="167" formatCode="_-* #,##0.00_-;\-* #,##0.00_-;_-* &quot;-&quot;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u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</cellStyleXfs>
  <cellXfs count="159">
    <xf numFmtId="0" fontId="0" fillId="0" borderId="0" xfId="0"/>
    <xf numFmtId="0" fontId="2" fillId="0" borderId="0" xfId="2" applyFont="1"/>
    <xf numFmtId="0" fontId="3" fillId="0" borderId="0" xfId="0" applyFont="1"/>
    <xf numFmtId="0" fontId="3" fillId="0" borderId="0" xfId="2" applyFont="1"/>
    <xf numFmtId="0" fontId="4" fillId="0" borderId="0" xfId="0" applyFont="1"/>
    <xf numFmtId="41" fontId="4" fillId="0" borderId="0" xfId="1" applyFont="1"/>
    <xf numFmtId="0" fontId="3" fillId="0" borderId="1" xfId="2" applyFont="1" applyBorder="1"/>
    <xf numFmtId="0" fontId="2" fillId="0" borderId="2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1" fontId="2" fillId="0" borderId="1" xfId="1" applyFont="1" applyBorder="1" applyAlignment="1">
      <alignment horizontal="center"/>
    </xf>
    <xf numFmtId="0" fontId="3" fillId="0" borderId="3" xfId="2" applyFont="1" applyBorder="1"/>
    <xf numFmtId="0" fontId="3" fillId="0" borderId="4" xfId="2" applyFont="1" applyBorder="1"/>
    <xf numFmtId="0" fontId="2" fillId="0" borderId="3" xfId="0" applyFont="1" applyBorder="1" applyAlignment="1">
      <alignment horizontal="center"/>
    </xf>
    <xf numFmtId="41" fontId="2" fillId="0" borderId="3" xfId="1" applyFont="1" applyBorder="1" applyAlignment="1">
      <alignment horizontal="center"/>
    </xf>
    <xf numFmtId="0" fontId="5" fillId="0" borderId="5" xfId="2" applyFont="1" applyBorder="1"/>
    <xf numFmtId="0" fontId="3" fillId="0" borderId="1" xfId="0" applyFont="1" applyBorder="1"/>
    <xf numFmtId="0" fontId="3" fillId="0" borderId="6" xfId="0" applyFont="1" applyBorder="1"/>
    <xf numFmtId="41" fontId="3" fillId="0" borderId="1" xfId="1" applyFont="1" applyBorder="1"/>
    <xf numFmtId="0" fontId="3" fillId="0" borderId="6" xfId="2" applyFont="1" applyBorder="1"/>
    <xf numFmtId="43" fontId="3" fillId="0" borderId="6" xfId="3" applyFont="1" applyBorder="1" applyAlignment="1"/>
    <xf numFmtId="164" fontId="3" fillId="0" borderId="6" xfId="1" applyNumberFormat="1" applyFont="1" applyBorder="1"/>
    <xf numFmtId="41" fontId="3" fillId="0" borderId="6" xfId="1" applyFont="1" applyBorder="1"/>
    <xf numFmtId="0" fontId="3" fillId="2" borderId="0" xfId="2" applyFont="1" applyFill="1"/>
    <xf numFmtId="164" fontId="3" fillId="0" borderId="6" xfId="4" applyNumberFormat="1" applyFont="1" applyBorder="1" applyAlignment="1"/>
    <xf numFmtId="43" fontId="3" fillId="0" borderId="6" xfId="3" applyFont="1" applyFill="1" applyBorder="1" applyAlignment="1"/>
    <xf numFmtId="164" fontId="3" fillId="0" borderId="0" xfId="1" applyNumberFormat="1" applyFont="1"/>
    <xf numFmtId="0" fontId="5" fillId="0" borderId="0" xfId="2" applyFont="1"/>
    <xf numFmtId="43" fontId="2" fillId="0" borderId="6" xfId="3" applyFont="1" applyBorder="1" applyAlignment="1"/>
    <xf numFmtId="164" fontId="2" fillId="0" borderId="6" xfId="1" applyNumberFormat="1" applyFont="1" applyBorder="1"/>
    <xf numFmtId="41" fontId="2" fillId="0" borderId="6" xfId="1" applyFont="1" applyBorder="1"/>
    <xf numFmtId="43" fontId="3" fillId="0" borderId="0" xfId="0" applyNumberFormat="1" applyFont="1"/>
    <xf numFmtId="0" fontId="3" fillId="0" borderId="3" xfId="0" applyFont="1" applyBorder="1"/>
    <xf numFmtId="0" fontId="5" fillId="0" borderId="7" xfId="2" applyFont="1" applyBorder="1"/>
    <xf numFmtId="43" fontId="2" fillId="0" borderId="3" xfId="0" applyNumberFormat="1" applyFont="1" applyBorder="1"/>
    <xf numFmtId="164" fontId="2" fillId="0" borderId="3" xfId="1" applyNumberFormat="1" applyFont="1" applyBorder="1"/>
    <xf numFmtId="41" fontId="2" fillId="0" borderId="3" xfId="1" applyFont="1" applyBorder="1"/>
    <xf numFmtId="0" fontId="7" fillId="0" borderId="0" xfId="5" applyFont="1"/>
    <xf numFmtId="0" fontId="8" fillId="0" borderId="0" xfId="5" applyFont="1"/>
    <xf numFmtId="43" fontId="8" fillId="0" borderId="0" xfId="6" applyFont="1" applyBorder="1" applyAlignment="1"/>
    <xf numFmtId="0" fontId="8" fillId="0" borderId="0" xfId="0" applyFont="1"/>
    <xf numFmtId="0" fontId="8" fillId="0" borderId="0" xfId="5" applyFont="1" applyAlignment="1">
      <alignment horizontal="center"/>
    </xf>
    <xf numFmtId="0" fontId="7" fillId="0" borderId="0" xfId="0" applyFont="1"/>
    <xf numFmtId="43" fontId="3" fillId="0" borderId="6" xfId="0" applyNumberFormat="1" applyFont="1" applyBorder="1"/>
    <xf numFmtId="0" fontId="9" fillId="0" borderId="0" xfId="0" applyFont="1"/>
    <xf numFmtId="0" fontId="9" fillId="0" borderId="0" xfId="5" applyFont="1"/>
    <xf numFmtId="0" fontId="9" fillId="0" borderId="1" xfId="5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0" fontId="8" fillId="0" borderId="2" xfId="5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3" xfId="5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0" fontId="8" fillId="0" borderId="4" xfId="5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1" xfId="5" applyFont="1" applyBorder="1"/>
    <xf numFmtId="0" fontId="8" fillId="0" borderId="1" xfId="5" applyFont="1" applyBorder="1"/>
    <xf numFmtId="43" fontId="7" fillId="0" borderId="1" xfId="6" applyFont="1" applyFill="1" applyBorder="1" applyAlignment="1"/>
    <xf numFmtId="43" fontId="7" fillId="0" borderId="1" xfId="0" applyNumberFormat="1" applyFont="1" applyBorder="1"/>
    <xf numFmtId="0" fontId="7" fillId="0" borderId="1" xfId="0" applyFont="1" applyBorder="1"/>
    <xf numFmtId="0" fontId="10" fillId="0" borderId="6" xfId="5" applyFont="1" applyBorder="1"/>
    <xf numFmtId="0" fontId="7" fillId="0" borderId="6" xfId="5" applyFont="1" applyBorder="1"/>
    <xf numFmtId="43" fontId="3" fillId="0" borderId="6" xfId="6" applyFont="1" applyBorder="1" applyAlignment="1"/>
    <xf numFmtId="41" fontId="7" fillId="0" borderId="6" xfId="1" applyFont="1" applyBorder="1"/>
    <xf numFmtId="43" fontId="7" fillId="0" borderId="6" xfId="0" applyNumberFormat="1" applyFont="1" applyBorder="1"/>
    <xf numFmtId="0" fontId="10" fillId="0" borderId="6" xfId="0" applyFont="1" applyBorder="1"/>
    <xf numFmtId="164" fontId="7" fillId="0" borderId="6" xfId="1" applyNumberFormat="1" applyFont="1" applyBorder="1"/>
    <xf numFmtId="0" fontId="0" fillId="0" borderId="6" xfId="0" applyBorder="1"/>
    <xf numFmtId="0" fontId="7" fillId="0" borderId="6" xfId="0" applyFont="1" applyBorder="1"/>
    <xf numFmtId="0" fontId="11" fillId="0" borderId="6" xfId="5" applyFont="1" applyBorder="1"/>
    <xf numFmtId="43" fontId="11" fillId="0" borderId="6" xfId="6" applyFont="1" applyBorder="1" applyAlignment="1"/>
    <xf numFmtId="164" fontId="8" fillId="0" borderId="6" xfId="1" applyNumberFormat="1" applyFont="1" applyBorder="1"/>
    <xf numFmtId="43" fontId="11" fillId="0" borderId="6" xfId="0" applyNumberFormat="1" applyFont="1" applyBorder="1"/>
    <xf numFmtId="0" fontId="9" fillId="0" borderId="6" xfId="5" applyFont="1" applyBorder="1"/>
    <xf numFmtId="0" fontId="8" fillId="0" borderId="6" xfId="5" applyFont="1" applyBorder="1"/>
    <xf numFmtId="43" fontId="7" fillId="0" borderId="6" xfId="6" applyFont="1" applyBorder="1" applyAlignment="1"/>
    <xf numFmtId="0" fontId="0" fillId="0" borderId="8" xfId="0" applyBorder="1"/>
    <xf numFmtId="0" fontId="10" fillId="0" borderId="3" xfId="2" applyFont="1" applyBorder="1"/>
    <xf numFmtId="0" fontId="8" fillId="0" borderId="3" xfId="5" applyFont="1" applyBorder="1"/>
    <xf numFmtId="43" fontId="8" fillId="0" borderId="3" xfId="6" applyFont="1" applyBorder="1" applyAlignment="1"/>
    <xf numFmtId="43" fontId="8" fillId="0" borderId="3" xfId="0" applyNumberFormat="1" applyFont="1" applyBorder="1"/>
    <xf numFmtId="0" fontId="8" fillId="0" borderId="9" xfId="5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9" xfId="0" applyFont="1" applyBorder="1"/>
    <xf numFmtId="43" fontId="7" fillId="0" borderId="9" xfId="0" applyNumberFormat="1" applyFont="1" applyBorder="1"/>
    <xf numFmtId="43" fontId="11" fillId="0" borderId="9" xfId="0" applyNumberFormat="1" applyFont="1" applyBorder="1"/>
    <xf numFmtId="43" fontId="8" fillId="0" borderId="9" xfId="0" applyNumberFormat="1" applyFont="1" applyBorder="1"/>
    <xf numFmtId="0" fontId="12" fillId="0" borderId="0" xfId="0" applyFont="1"/>
    <xf numFmtId="0" fontId="13" fillId="0" borderId="0" xfId="0" applyFont="1"/>
    <xf numFmtId="0" fontId="7" fillId="0" borderId="0" xfId="0" applyFont="1" applyAlignment="1">
      <alignment vertical="center"/>
    </xf>
    <xf numFmtId="41" fontId="13" fillId="0" borderId="0" xfId="1" applyFont="1" applyAlignment="1" applyProtection="1"/>
    <xf numFmtId="4" fontId="14" fillId="0" borderId="0" xfId="0" applyNumberFormat="1" applyFont="1"/>
    <xf numFmtId="164" fontId="13" fillId="0" borderId="0" xfId="1" applyNumberFormat="1" applyFont="1" applyAlignment="1" applyProtection="1"/>
    <xf numFmtId="164" fontId="12" fillId="0" borderId="0" xfId="1" applyNumberFormat="1" applyFont="1" applyAlignment="1" applyProtection="1"/>
    <xf numFmtId="0" fontId="13" fillId="0" borderId="0" xfId="0" applyFont="1" applyAlignment="1">
      <alignment horizontal="center"/>
    </xf>
    <xf numFmtId="9" fontId="13" fillId="0" borderId="0" xfId="0" applyNumberFormat="1" applyFont="1"/>
    <xf numFmtId="43" fontId="13" fillId="0" borderId="0" xfId="0" applyNumberFormat="1" applyFont="1"/>
    <xf numFmtId="9" fontId="12" fillId="0" borderId="0" xfId="0" applyNumberFormat="1" applyFont="1"/>
    <xf numFmtId="43" fontId="12" fillId="0" borderId="0" xfId="0" applyNumberFormat="1" applyFont="1"/>
    <xf numFmtId="0" fontId="4" fillId="0" borderId="0" xfId="0" applyFont="1" applyAlignment="1">
      <alignment vertical="center"/>
    </xf>
    <xf numFmtId="17" fontId="4" fillId="0" borderId="0" xfId="0" applyNumberFormat="1" applyFont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165" fontId="4" fillId="0" borderId="0" xfId="1" applyNumberFormat="1" applyFont="1"/>
    <xf numFmtId="0" fontId="4" fillId="0" borderId="13" xfId="0" applyFont="1" applyBorder="1" applyAlignment="1">
      <alignment horizontal="center" vertical="center" wrapText="1"/>
    </xf>
    <xf numFmtId="41" fontId="4" fillId="0" borderId="11" xfId="1" applyFont="1" applyBorder="1"/>
    <xf numFmtId="41" fontId="4" fillId="0" borderId="11" xfId="1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41" fontId="4" fillId="0" borderId="11" xfId="1" applyFont="1" applyBorder="1" applyAlignment="1">
      <alignment vertical="center" wrapText="1"/>
    </xf>
    <xf numFmtId="166" fontId="4" fillId="0" borderId="0" xfId="0" applyNumberFormat="1" applyFont="1"/>
    <xf numFmtId="0" fontId="15" fillId="0" borderId="11" xfId="0" applyFont="1" applyBorder="1" applyAlignment="1">
      <alignment vertical="top" wrapText="1"/>
    </xf>
    <xf numFmtId="41" fontId="15" fillId="0" borderId="11" xfId="1" applyFont="1" applyBorder="1" applyAlignment="1">
      <alignment vertical="top" wrapText="1"/>
    </xf>
    <xf numFmtId="0" fontId="16" fillId="0" borderId="11" xfId="0" applyFont="1" applyBorder="1" applyAlignment="1">
      <alignment horizontal="left" vertical="center" wrapText="1"/>
    </xf>
    <xf numFmtId="41" fontId="16" fillId="0" borderId="11" xfId="1" applyFont="1" applyBorder="1" applyAlignment="1">
      <alignment horizontal="left" vertical="center" wrapText="1"/>
    </xf>
    <xf numFmtId="0" fontId="15" fillId="0" borderId="11" xfId="0" applyFont="1" applyBorder="1" applyAlignment="1">
      <alignment vertical="center" wrapText="1"/>
    </xf>
    <xf numFmtId="41" fontId="15" fillId="0" borderId="11" xfId="1" applyFont="1" applyBorder="1" applyAlignment="1">
      <alignment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vertical="center"/>
    </xf>
    <xf numFmtId="0" fontId="4" fillId="0" borderId="13" xfId="0" applyFont="1" applyBorder="1" applyAlignment="1">
      <alignment horizontal="center"/>
    </xf>
    <xf numFmtId="0" fontId="4" fillId="0" borderId="11" xfId="0" applyFont="1" applyBorder="1"/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7" fillId="0" borderId="11" xfId="0" applyFont="1" applyBorder="1"/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18" fillId="0" borderId="14" xfId="0" applyFont="1" applyBorder="1" applyAlignment="1">
      <alignment horizontal="center"/>
    </xf>
    <xf numFmtId="0" fontId="18" fillId="0" borderId="0" xfId="0" applyFont="1"/>
    <xf numFmtId="41" fontId="18" fillId="0" borderId="0" xfId="1" applyFont="1"/>
    <xf numFmtId="0" fontId="4" fillId="0" borderId="2" xfId="0" applyFont="1" applyBorder="1" applyAlignment="1">
      <alignment horizontal="center" vertical="center"/>
    </xf>
    <xf numFmtId="0" fontId="4" fillId="0" borderId="14" xfId="0" applyFont="1" applyBorder="1"/>
    <xf numFmtId="41" fontId="4" fillId="0" borderId="11" xfId="0" applyNumberFormat="1" applyFont="1" applyBorder="1"/>
    <xf numFmtId="167" fontId="4" fillId="0" borderId="0" xfId="1" applyNumberFormat="1" applyFont="1"/>
    <xf numFmtId="41" fontId="4" fillId="0" borderId="0" xfId="1" applyFont="1" applyBorder="1"/>
    <xf numFmtId="41" fontId="18" fillId="0" borderId="11" xfId="1" applyFont="1" applyBorder="1"/>
    <xf numFmtId="41" fontId="18" fillId="0" borderId="0" xfId="1" applyFont="1" applyBorder="1"/>
    <xf numFmtId="41" fontId="4" fillId="0" borderId="0" xfId="0" applyNumberFormat="1" applyFont="1"/>
    <xf numFmtId="0" fontId="19" fillId="0" borderId="0" xfId="0" applyFont="1"/>
    <xf numFmtId="0" fontId="5" fillId="0" borderId="1" xfId="2" applyFont="1" applyBorder="1"/>
    <xf numFmtId="0" fontId="3" fillId="2" borderId="6" xfId="2" applyFont="1" applyFill="1" applyBorder="1"/>
    <xf numFmtId="0" fontId="5" fillId="0" borderId="6" xfId="2" applyFont="1" applyBorder="1"/>
    <xf numFmtId="0" fontId="2" fillId="0" borderId="6" xfId="2" applyFont="1" applyBorder="1"/>
    <xf numFmtId="0" fontId="5" fillId="0" borderId="3" xfId="2" applyFont="1" applyBorder="1"/>
    <xf numFmtId="0" fontId="8" fillId="0" borderId="3" xfId="5" applyFont="1" applyBorder="1" applyAlignment="1">
      <alignment horizontal="center"/>
    </xf>
    <xf numFmtId="43" fontId="2" fillId="0" borderId="0" xfId="0" applyNumberFormat="1" applyFont="1"/>
    <xf numFmtId="43" fontId="0" fillId="0" borderId="0" xfId="0" applyNumberFormat="1"/>
    <xf numFmtId="43" fontId="19" fillId="0" borderId="0" xfId="0" applyNumberFormat="1" applyFont="1"/>
    <xf numFmtId="0" fontId="4" fillId="0" borderId="1" xfId="0" applyFont="1" applyBorder="1"/>
    <xf numFmtId="0" fontId="0" fillId="0" borderId="11" xfId="0" applyBorder="1"/>
    <xf numFmtId="41" fontId="20" fillId="0" borderId="11" xfId="1" applyFont="1" applyBorder="1" applyAlignment="1">
      <alignment vertical="center" wrapText="1"/>
    </xf>
    <xf numFmtId="41" fontId="21" fillId="0" borderId="11" xfId="1" applyFont="1" applyBorder="1" applyAlignment="1">
      <alignment vertical="center" wrapText="1"/>
    </xf>
    <xf numFmtId="41" fontId="20" fillId="0" borderId="11" xfId="1" applyFont="1" applyBorder="1"/>
    <xf numFmtId="167" fontId="7" fillId="0" borderId="0" xfId="1" applyNumberFormat="1" applyFont="1"/>
    <xf numFmtId="41" fontId="4" fillId="0" borderId="11" xfId="1" applyFont="1" applyBorder="1" applyAlignment="1">
      <alignment horizontal="center" vertical="center"/>
    </xf>
    <xf numFmtId="41" fontId="4" fillId="0" borderId="11" xfId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7">
    <cellStyle name="Comma [0]" xfId="1" builtinId="6"/>
    <cellStyle name="Comma [0] 3" xfId="4" xr:uid="{00000000-0005-0000-0000-000001000000}"/>
    <cellStyle name="Comma 7" xfId="3" xr:uid="{00000000-0005-0000-0000-000002000000}"/>
    <cellStyle name="Comma 8" xfId="6" xr:uid="{00000000-0005-0000-0000-000003000000}"/>
    <cellStyle name="Normal" xfId="0" builtinId="0"/>
    <cellStyle name="Normal 4" xfId="5" xr:uid="{00000000-0005-0000-0000-000005000000}"/>
    <cellStyle name="Normal 5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8"/>
  <sheetViews>
    <sheetView workbookViewId="0">
      <selection activeCell="B103" sqref="B103"/>
    </sheetView>
  </sheetViews>
  <sheetFormatPr defaultRowHeight="14.4" x14ac:dyDescent="0.3"/>
  <cols>
    <col min="1" max="1" width="5" customWidth="1"/>
    <col min="2" max="2" width="38.88671875" bestFit="1" customWidth="1"/>
    <col min="3" max="3" width="23" customWidth="1"/>
    <col min="4" max="4" width="17.33203125" bestFit="1" customWidth="1"/>
    <col min="5" max="5" width="24.6640625" bestFit="1" customWidth="1"/>
    <col min="6" max="6" width="15.33203125" bestFit="1" customWidth="1"/>
    <col min="7" max="7" width="14.33203125" bestFit="1" customWidth="1"/>
  </cols>
  <sheetData>
    <row r="1" spans="1:5" ht="15.6" x14ac:dyDescent="0.3">
      <c r="A1" s="1" t="s">
        <v>0</v>
      </c>
      <c r="B1" s="2"/>
      <c r="C1" s="3"/>
      <c r="D1" s="4"/>
      <c r="E1" s="5"/>
    </row>
    <row r="2" spans="1:5" ht="15.6" x14ac:dyDescent="0.3">
      <c r="A2" s="1" t="s">
        <v>407</v>
      </c>
      <c r="B2" s="2"/>
      <c r="C2" s="3"/>
      <c r="D2" s="4"/>
      <c r="E2" s="5"/>
    </row>
    <row r="3" spans="1:5" ht="15.6" x14ac:dyDescent="0.3">
      <c r="A3" s="1"/>
      <c r="B3" s="3"/>
      <c r="C3" s="3"/>
      <c r="D3" s="4"/>
      <c r="E3" s="5"/>
    </row>
    <row r="4" spans="1:5" ht="15.6" x14ac:dyDescent="0.3">
      <c r="A4" s="6"/>
      <c r="B4" s="7" t="s">
        <v>1</v>
      </c>
      <c r="C4" s="8" t="s">
        <v>2</v>
      </c>
      <c r="D4" s="9" t="s">
        <v>3</v>
      </c>
      <c r="E4" s="10" t="s">
        <v>4</v>
      </c>
    </row>
    <row r="5" spans="1:5" ht="15.6" x14ac:dyDescent="0.3">
      <c r="A5" s="11"/>
      <c r="B5" s="12"/>
      <c r="C5" s="13" t="s">
        <v>408</v>
      </c>
      <c r="D5" s="13" t="s">
        <v>408</v>
      </c>
      <c r="E5" s="14" t="s">
        <v>408</v>
      </c>
    </row>
    <row r="6" spans="1:5" ht="15.6" x14ac:dyDescent="0.3">
      <c r="A6" s="6"/>
      <c r="B6" s="15" t="s">
        <v>6</v>
      </c>
      <c r="C6" s="16"/>
      <c r="D6" s="17"/>
      <c r="E6" s="18"/>
    </row>
    <row r="7" spans="1:5" ht="15.6" x14ac:dyDescent="0.3">
      <c r="A7" s="19"/>
      <c r="B7" s="3" t="s">
        <v>7</v>
      </c>
      <c r="C7" s="20">
        <v>76911167</v>
      </c>
      <c r="D7" s="21">
        <f>15657295+2005205+2452000</f>
        <v>20114500</v>
      </c>
      <c r="E7" s="22">
        <f>SUM(C7:D7)</f>
        <v>97025667</v>
      </c>
    </row>
    <row r="8" spans="1:5" ht="15.6" x14ac:dyDescent="0.3">
      <c r="A8" s="19"/>
      <c r="B8" s="23" t="s">
        <v>8</v>
      </c>
      <c r="C8" s="20">
        <f>317477246+71308741</f>
        <v>388785987</v>
      </c>
      <c r="D8" s="21">
        <v>0</v>
      </c>
      <c r="E8" s="22">
        <f t="shared" ref="E8:E15" si="0">SUM(C8:D8)</f>
        <v>388785987</v>
      </c>
    </row>
    <row r="9" spans="1:5" ht="15.6" x14ac:dyDescent="0.3">
      <c r="A9" s="19"/>
      <c r="B9" s="3" t="s">
        <v>9</v>
      </c>
      <c r="C9" s="20">
        <v>100000000</v>
      </c>
      <c r="D9" s="21">
        <v>0</v>
      </c>
      <c r="E9" s="22">
        <f t="shared" si="0"/>
        <v>100000000</v>
      </c>
    </row>
    <row r="10" spans="1:5" ht="15.6" x14ac:dyDescent="0.3">
      <c r="A10" s="19"/>
      <c r="B10" s="3" t="s">
        <v>10</v>
      </c>
      <c r="C10" s="20">
        <f>432900000+1000000</f>
        <v>433900000</v>
      </c>
      <c r="D10" s="21">
        <v>0</v>
      </c>
      <c r="E10" s="22">
        <f t="shared" si="0"/>
        <v>433900000</v>
      </c>
    </row>
    <row r="11" spans="1:5" ht="15.6" x14ac:dyDescent="0.3">
      <c r="A11" s="19"/>
      <c r="B11" s="3" t="s">
        <v>11</v>
      </c>
      <c r="C11" s="24">
        <v>-334000</v>
      </c>
      <c r="D11" s="21">
        <v>0</v>
      </c>
      <c r="E11" s="22">
        <f t="shared" si="0"/>
        <v>-334000</v>
      </c>
    </row>
    <row r="12" spans="1:5" ht="15.6" x14ac:dyDescent="0.3">
      <c r="A12" s="19"/>
      <c r="B12" s="3" t="s">
        <v>12</v>
      </c>
      <c r="C12" s="25">
        <v>0</v>
      </c>
      <c r="D12" s="26">
        <v>5011836</v>
      </c>
      <c r="E12" s="22">
        <f t="shared" si="0"/>
        <v>5011836</v>
      </c>
    </row>
    <row r="13" spans="1:5" ht="15.6" x14ac:dyDescent="0.3">
      <c r="A13" s="19"/>
      <c r="B13" s="3" t="s">
        <v>13</v>
      </c>
      <c r="C13" s="25">
        <v>2478516</v>
      </c>
      <c r="D13" s="21">
        <v>0</v>
      </c>
      <c r="E13" s="22">
        <f t="shared" si="0"/>
        <v>2478516</v>
      </c>
    </row>
    <row r="14" spans="1:5" ht="15.6" x14ac:dyDescent="0.3">
      <c r="A14" s="19"/>
      <c r="B14" s="3" t="s">
        <v>14</v>
      </c>
      <c r="C14" s="20">
        <v>28388200</v>
      </c>
      <c r="D14" s="21">
        <v>0</v>
      </c>
      <c r="E14" s="22">
        <f t="shared" si="0"/>
        <v>28388200</v>
      </c>
    </row>
    <row r="15" spans="1:5" ht="15.6" x14ac:dyDescent="0.3">
      <c r="A15" s="19"/>
      <c r="B15" s="3" t="s">
        <v>15</v>
      </c>
      <c r="C15" s="24">
        <v>-24839355</v>
      </c>
      <c r="D15" s="21">
        <v>0</v>
      </c>
      <c r="E15" s="22">
        <f t="shared" si="0"/>
        <v>-24839355</v>
      </c>
    </row>
    <row r="16" spans="1:5" ht="15.6" x14ac:dyDescent="0.3">
      <c r="A16" s="19"/>
      <c r="B16" s="27" t="s">
        <v>16</v>
      </c>
      <c r="C16" s="28">
        <f>SUM(C7:C15)</f>
        <v>1005290515</v>
      </c>
      <c r="D16" s="29">
        <f>SUM(D7:D15)</f>
        <v>25126336</v>
      </c>
      <c r="E16" s="30">
        <f t="shared" ref="E16:E39" si="1">SUM(C16:D16)</f>
        <v>1030416851</v>
      </c>
    </row>
    <row r="17" spans="1:5" ht="15.6" x14ac:dyDescent="0.3">
      <c r="A17" s="19"/>
      <c r="B17" s="2"/>
      <c r="C17" s="17"/>
      <c r="D17" s="17"/>
      <c r="E17" s="22">
        <f t="shared" si="1"/>
        <v>0</v>
      </c>
    </row>
    <row r="18" spans="1:5" ht="15.6" x14ac:dyDescent="0.3">
      <c r="A18" s="19"/>
      <c r="B18" s="27" t="s">
        <v>17</v>
      </c>
      <c r="C18" s="20"/>
      <c r="D18" s="17"/>
      <c r="E18" s="22">
        <f t="shared" si="1"/>
        <v>0</v>
      </c>
    </row>
    <row r="19" spans="1:5" ht="15.6" x14ac:dyDescent="0.3">
      <c r="A19" s="19"/>
      <c r="B19" s="27" t="s">
        <v>18</v>
      </c>
      <c r="C19" s="20"/>
      <c r="D19" s="17"/>
      <c r="E19" s="22">
        <f t="shared" si="1"/>
        <v>0</v>
      </c>
    </row>
    <row r="20" spans="1:5" ht="15.6" x14ac:dyDescent="0.3">
      <c r="A20" s="19"/>
      <c r="B20" s="3" t="s">
        <v>19</v>
      </c>
      <c r="C20" s="20">
        <v>0</v>
      </c>
      <c r="D20" s="21">
        <v>0</v>
      </c>
      <c r="E20" s="22">
        <f t="shared" si="1"/>
        <v>0</v>
      </c>
    </row>
    <row r="21" spans="1:5" ht="15.6" x14ac:dyDescent="0.3">
      <c r="A21" s="19"/>
      <c r="B21" s="3" t="s">
        <v>20</v>
      </c>
      <c r="C21" s="20">
        <v>395350997</v>
      </c>
      <c r="D21" s="21">
        <v>0</v>
      </c>
      <c r="E21" s="22">
        <f t="shared" si="1"/>
        <v>395350997</v>
      </c>
    </row>
    <row r="22" spans="1:5" ht="15.6" x14ac:dyDescent="0.3">
      <c r="A22" s="19"/>
      <c r="B22" s="3" t="s">
        <v>21</v>
      </c>
      <c r="C22" s="20">
        <f>68275000+350000</f>
        <v>68625000</v>
      </c>
      <c r="D22" s="21">
        <v>0</v>
      </c>
      <c r="E22" s="22">
        <f t="shared" si="1"/>
        <v>68625000</v>
      </c>
    </row>
    <row r="23" spans="1:5" ht="15.6" x14ac:dyDescent="0.3">
      <c r="A23" s="17"/>
      <c r="B23" s="2" t="s">
        <v>22</v>
      </c>
      <c r="C23" s="25">
        <v>0</v>
      </c>
      <c r="D23" s="21">
        <v>0</v>
      </c>
      <c r="E23" s="22">
        <f t="shared" si="1"/>
        <v>0</v>
      </c>
    </row>
    <row r="24" spans="1:5" ht="15.6" x14ac:dyDescent="0.3">
      <c r="A24" s="17"/>
      <c r="B24" s="3" t="s">
        <v>23</v>
      </c>
      <c r="C24" s="20">
        <v>0</v>
      </c>
      <c r="D24" s="21">
        <v>0</v>
      </c>
      <c r="E24" s="22">
        <f t="shared" si="1"/>
        <v>0</v>
      </c>
    </row>
    <row r="25" spans="1:5" ht="15.6" x14ac:dyDescent="0.3">
      <c r="A25" s="17"/>
      <c r="B25" s="3" t="s">
        <v>24</v>
      </c>
      <c r="C25" s="20">
        <v>23170310</v>
      </c>
      <c r="D25" s="21">
        <v>0</v>
      </c>
      <c r="E25" s="22">
        <f t="shared" si="1"/>
        <v>23170310</v>
      </c>
    </row>
    <row r="26" spans="1:5" ht="15.6" x14ac:dyDescent="0.3">
      <c r="A26" s="19"/>
      <c r="B26" s="3" t="s">
        <v>91</v>
      </c>
      <c r="C26" s="20">
        <v>23170310</v>
      </c>
      <c r="D26" s="21">
        <v>0</v>
      </c>
      <c r="E26" s="22">
        <f t="shared" si="1"/>
        <v>23170310</v>
      </c>
    </row>
    <row r="27" spans="1:5" ht="15.6" x14ac:dyDescent="0.3">
      <c r="A27" s="19"/>
      <c r="B27" s="1" t="s">
        <v>26</v>
      </c>
      <c r="C27" s="28">
        <f>SUM(C20:C26)</f>
        <v>510316617</v>
      </c>
      <c r="D27" s="21">
        <f>SUM(D20:D26)</f>
        <v>0</v>
      </c>
      <c r="E27" s="30">
        <f t="shared" si="1"/>
        <v>510316617</v>
      </c>
    </row>
    <row r="28" spans="1:5" ht="15.6" x14ac:dyDescent="0.3">
      <c r="A28" s="19"/>
      <c r="B28" s="2"/>
      <c r="C28" s="17"/>
      <c r="D28" s="17"/>
      <c r="E28" s="22">
        <f t="shared" si="1"/>
        <v>0</v>
      </c>
    </row>
    <row r="29" spans="1:5" ht="15.6" x14ac:dyDescent="0.3">
      <c r="A29" s="19"/>
      <c r="B29" s="1" t="s">
        <v>27</v>
      </c>
      <c r="C29" s="20"/>
      <c r="D29" s="17"/>
      <c r="E29" s="22">
        <f t="shared" si="1"/>
        <v>0</v>
      </c>
    </row>
    <row r="30" spans="1:5" ht="15.6" x14ac:dyDescent="0.3">
      <c r="A30" s="17"/>
      <c r="B30" s="3" t="s">
        <v>28</v>
      </c>
      <c r="C30" s="20">
        <v>25400000</v>
      </c>
      <c r="D30" s="21">
        <v>0</v>
      </c>
      <c r="E30" s="22">
        <f t="shared" si="1"/>
        <v>25400000</v>
      </c>
    </row>
    <row r="31" spans="1:5" ht="15.6" x14ac:dyDescent="0.3">
      <c r="A31" s="17"/>
      <c r="B31" s="3" t="s">
        <v>29</v>
      </c>
      <c r="C31" s="20">
        <v>115440000</v>
      </c>
      <c r="D31" s="21">
        <v>0</v>
      </c>
      <c r="E31" s="22">
        <f t="shared" si="1"/>
        <v>115440000</v>
      </c>
    </row>
    <row r="32" spans="1:5" ht="15.6" x14ac:dyDescent="0.3">
      <c r="A32" s="19"/>
      <c r="B32" s="3" t="s">
        <v>30</v>
      </c>
      <c r="C32" s="20">
        <v>178998500</v>
      </c>
      <c r="D32" s="21">
        <v>0</v>
      </c>
      <c r="E32" s="22">
        <f t="shared" si="1"/>
        <v>178998500</v>
      </c>
    </row>
    <row r="33" spans="1:5" ht="15.6" x14ac:dyDescent="0.3">
      <c r="A33" s="19"/>
      <c r="B33" s="3" t="s">
        <v>31</v>
      </c>
      <c r="C33" s="20">
        <v>115851750</v>
      </c>
      <c r="D33" s="21">
        <v>0</v>
      </c>
      <c r="E33" s="22">
        <f t="shared" si="1"/>
        <v>115851750</v>
      </c>
    </row>
    <row r="34" spans="1:5" ht="15.6" x14ac:dyDescent="0.3">
      <c r="A34" s="19"/>
      <c r="B34" s="3" t="s">
        <v>32</v>
      </c>
      <c r="C34" s="25">
        <v>0</v>
      </c>
      <c r="D34" s="26">
        <v>18906175</v>
      </c>
      <c r="E34" s="22">
        <f t="shared" si="1"/>
        <v>18906175</v>
      </c>
    </row>
    <row r="35" spans="1:5" ht="15.6" x14ac:dyDescent="0.3">
      <c r="A35" s="19"/>
      <c r="B35" s="3" t="s">
        <v>33</v>
      </c>
      <c r="C35" s="20">
        <v>0</v>
      </c>
      <c r="D35" s="26">
        <v>0</v>
      </c>
      <c r="E35" s="22">
        <f t="shared" si="1"/>
        <v>0</v>
      </c>
    </row>
    <row r="36" spans="1:5" ht="15.6" x14ac:dyDescent="0.3">
      <c r="A36" s="19"/>
      <c r="B36" s="3" t="s">
        <v>34</v>
      </c>
      <c r="C36" s="20">
        <f>41359554+17924094</f>
        <v>59283648</v>
      </c>
      <c r="D36" s="31">
        <v>6220161</v>
      </c>
      <c r="E36" s="22">
        <f t="shared" si="1"/>
        <v>65503809</v>
      </c>
    </row>
    <row r="37" spans="1:5" ht="15.6" x14ac:dyDescent="0.3">
      <c r="A37" s="19"/>
      <c r="B37" s="1" t="s">
        <v>35</v>
      </c>
      <c r="C37" s="28">
        <f>SUM(C30:C36)</f>
        <v>494973898</v>
      </c>
      <c r="D37" s="29">
        <f>SUM(D30:D36)</f>
        <v>25126336</v>
      </c>
      <c r="E37" s="30">
        <f t="shared" si="1"/>
        <v>520100234</v>
      </c>
    </row>
    <row r="38" spans="1:5" ht="15.6" x14ac:dyDescent="0.3">
      <c r="A38" s="17"/>
      <c r="B38" s="2"/>
      <c r="C38" s="17"/>
      <c r="D38" s="17"/>
      <c r="E38" s="22">
        <f t="shared" si="1"/>
        <v>0</v>
      </c>
    </row>
    <row r="39" spans="1:5" ht="15.6" x14ac:dyDescent="0.3">
      <c r="A39" s="32"/>
      <c r="B39" s="33" t="s">
        <v>36</v>
      </c>
      <c r="C39" s="34">
        <f>C27+C37</f>
        <v>1005290515</v>
      </c>
      <c r="D39" s="35">
        <f>D27+D37</f>
        <v>25126336</v>
      </c>
      <c r="E39" s="36">
        <f t="shared" si="1"/>
        <v>1030416851</v>
      </c>
    </row>
    <row r="40" spans="1:5" x14ac:dyDescent="0.3">
      <c r="A40" s="4"/>
      <c r="B40" s="4"/>
      <c r="C40" s="4"/>
      <c r="D40" s="4"/>
      <c r="E40" s="5"/>
    </row>
    <row r="42" spans="1:5" ht="15.6" x14ac:dyDescent="0.3">
      <c r="A42" s="37"/>
      <c r="B42" s="38" t="s">
        <v>37</v>
      </c>
      <c r="C42" s="39" t="s">
        <v>38</v>
      </c>
      <c r="D42" s="40" t="s">
        <v>39</v>
      </c>
    </row>
    <row r="43" spans="1:5" ht="15.6" x14ac:dyDescent="0.3">
      <c r="A43" s="41"/>
      <c r="B43" s="42"/>
      <c r="C43" s="42"/>
      <c r="D43" s="42"/>
    </row>
    <row r="44" spans="1:5" ht="15.6" x14ac:dyDescent="0.3">
      <c r="A44" s="41"/>
      <c r="B44" s="42"/>
      <c r="C44" s="42"/>
      <c r="D44" s="42"/>
    </row>
    <row r="45" spans="1:5" ht="15.6" x14ac:dyDescent="0.3">
      <c r="A45" s="42"/>
      <c r="B45" s="42"/>
      <c r="C45" s="42"/>
      <c r="D45" s="42"/>
    </row>
    <row r="46" spans="1:5" ht="15.6" x14ac:dyDescent="0.3">
      <c r="A46" s="42"/>
      <c r="B46" s="42"/>
      <c r="C46" s="42"/>
      <c r="D46" s="42"/>
    </row>
    <row r="47" spans="1:5" ht="15.6" x14ac:dyDescent="0.3">
      <c r="A47" s="40">
        <v>1</v>
      </c>
      <c r="B47" s="38" t="s">
        <v>40</v>
      </c>
      <c r="C47" s="38" t="s">
        <v>41</v>
      </c>
      <c r="D47" s="40" t="s">
        <v>42</v>
      </c>
    </row>
    <row r="48" spans="1:5" ht="15.6" x14ac:dyDescent="0.3">
      <c r="A48" s="40"/>
      <c r="B48" s="42"/>
      <c r="C48" s="42"/>
      <c r="D48" s="42"/>
    </row>
    <row r="49" spans="1:4" ht="15.6" x14ac:dyDescent="0.3">
      <c r="A49" s="40"/>
      <c r="B49" s="42"/>
      <c r="C49" s="42"/>
      <c r="D49" s="42"/>
    </row>
    <row r="50" spans="1:4" ht="15.6" x14ac:dyDescent="0.3">
      <c r="A50" s="40"/>
      <c r="B50" s="42"/>
      <c r="C50" s="42"/>
      <c r="D50" s="42"/>
    </row>
    <row r="51" spans="1:4" ht="15.6" x14ac:dyDescent="0.3">
      <c r="A51" s="40"/>
      <c r="B51" s="42"/>
      <c r="C51" s="42"/>
      <c r="D51" s="42"/>
    </row>
    <row r="52" spans="1:4" ht="15.6" x14ac:dyDescent="0.3">
      <c r="A52" s="40">
        <v>2</v>
      </c>
      <c r="B52" s="40" t="s">
        <v>43</v>
      </c>
      <c r="C52" s="40" t="s">
        <v>44</v>
      </c>
      <c r="D52" s="40" t="s">
        <v>45</v>
      </c>
    </row>
    <row r="53" spans="1:4" ht="15.6" x14ac:dyDescent="0.3">
      <c r="A53" s="40"/>
      <c r="B53" s="42"/>
      <c r="C53" s="40"/>
      <c r="D53" s="42"/>
    </row>
    <row r="54" spans="1:4" ht="15.6" x14ac:dyDescent="0.3">
      <c r="A54" s="40"/>
      <c r="B54" s="42"/>
      <c r="C54" s="40"/>
      <c r="D54" s="42"/>
    </row>
    <row r="55" spans="1:4" ht="15.6" x14ac:dyDescent="0.3">
      <c r="A55" s="40"/>
      <c r="B55" s="42"/>
      <c r="C55" s="40"/>
      <c r="D55" s="42"/>
    </row>
    <row r="56" spans="1:4" ht="15.6" x14ac:dyDescent="0.3">
      <c r="A56" s="40">
        <v>3</v>
      </c>
      <c r="B56" s="40" t="s">
        <v>46</v>
      </c>
      <c r="C56" s="40" t="s">
        <v>47</v>
      </c>
      <c r="D56" s="40" t="s">
        <v>48</v>
      </c>
    </row>
    <row r="62" spans="1:4" ht="15.6" x14ac:dyDescent="0.3">
      <c r="A62" s="1" t="s">
        <v>0</v>
      </c>
      <c r="B62" s="2"/>
      <c r="C62" s="3"/>
      <c r="D62" s="4"/>
    </row>
    <row r="63" spans="1:4" ht="15.6" x14ac:dyDescent="0.3">
      <c r="A63" s="1" t="s">
        <v>410</v>
      </c>
      <c r="B63" s="2"/>
      <c r="C63" s="3"/>
      <c r="D63" s="4"/>
    </row>
    <row r="64" spans="1:4" ht="15.6" x14ac:dyDescent="0.3">
      <c r="A64" s="1" t="s">
        <v>49</v>
      </c>
      <c r="B64" s="2"/>
      <c r="C64" s="3"/>
      <c r="D64" s="4"/>
    </row>
    <row r="65" spans="1:6" ht="15.6" x14ac:dyDescent="0.3">
      <c r="A65" s="1"/>
      <c r="B65" s="3"/>
      <c r="C65" s="3"/>
      <c r="D65" s="4"/>
    </row>
    <row r="66" spans="1:6" ht="15.6" x14ac:dyDescent="0.3">
      <c r="A66" s="6"/>
      <c r="B66" s="7" t="s">
        <v>1</v>
      </c>
      <c r="C66" s="8" t="s">
        <v>2</v>
      </c>
      <c r="D66" s="9" t="s">
        <v>2</v>
      </c>
    </row>
    <row r="67" spans="1:6" ht="15.6" x14ac:dyDescent="0.3">
      <c r="A67" s="11"/>
      <c r="B67" s="12"/>
      <c r="C67" s="13" t="s">
        <v>408</v>
      </c>
      <c r="D67" s="13" t="s">
        <v>5</v>
      </c>
    </row>
    <row r="68" spans="1:6" ht="15.6" x14ac:dyDescent="0.3">
      <c r="A68" s="6"/>
      <c r="B68" s="15" t="s">
        <v>6</v>
      </c>
      <c r="C68" s="16"/>
      <c r="D68" s="17"/>
    </row>
    <row r="69" spans="1:6" ht="15.6" x14ac:dyDescent="0.3">
      <c r="A69" s="19"/>
      <c r="B69" s="3" t="s">
        <v>7</v>
      </c>
      <c r="C69" s="20">
        <f>E7</f>
        <v>97025667</v>
      </c>
      <c r="D69" s="21">
        <v>77874821</v>
      </c>
      <c r="F69" s="146">
        <f t="shared" ref="F69:F78" si="2">+C69-D69</f>
        <v>19150846</v>
      </c>
    </row>
    <row r="70" spans="1:6" ht="15.6" x14ac:dyDescent="0.3">
      <c r="A70" s="19"/>
      <c r="B70" s="23" t="s">
        <v>8</v>
      </c>
      <c r="C70" s="20">
        <f t="shared" ref="C70:C77" si="3">E8</f>
        <v>388785987</v>
      </c>
      <c r="D70" s="21">
        <v>261992439</v>
      </c>
      <c r="F70" s="146">
        <f t="shared" si="2"/>
        <v>126793548</v>
      </c>
    </row>
    <row r="71" spans="1:6" ht="15.6" x14ac:dyDescent="0.3">
      <c r="A71" s="19"/>
      <c r="B71" s="3" t="s">
        <v>9</v>
      </c>
      <c r="C71" s="20">
        <f t="shared" si="3"/>
        <v>100000000</v>
      </c>
      <c r="D71" s="21">
        <v>100000000</v>
      </c>
      <c r="F71" s="146">
        <f t="shared" si="2"/>
        <v>0</v>
      </c>
    </row>
    <row r="72" spans="1:6" ht="15.6" x14ac:dyDescent="0.3">
      <c r="A72" s="19"/>
      <c r="B72" s="3" t="s">
        <v>10</v>
      </c>
      <c r="C72" s="20">
        <f t="shared" si="3"/>
        <v>433900000</v>
      </c>
      <c r="D72" s="21">
        <v>449305000</v>
      </c>
      <c r="F72" s="146">
        <f t="shared" si="2"/>
        <v>-15405000</v>
      </c>
    </row>
    <row r="73" spans="1:6" ht="15.6" x14ac:dyDescent="0.3">
      <c r="A73" s="19"/>
      <c r="B73" s="3" t="s">
        <v>11</v>
      </c>
      <c r="C73" s="20">
        <f t="shared" si="3"/>
        <v>-334000</v>
      </c>
      <c r="D73" s="21">
        <v>-334000</v>
      </c>
      <c r="F73" s="146">
        <f t="shared" si="2"/>
        <v>0</v>
      </c>
    </row>
    <row r="74" spans="1:6" ht="15.6" x14ac:dyDescent="0.3">
      <c r="A74" s="19"/>
      <c r="B74" s="3" t="s">
        <v>12</v>
      </c>
      <c r="C74" s="20">
        <f t="shared" si="3"/>
        <v>5011836</v>
      </c>
      <c r="D74" s="21">
        <v>3139475</v>
      </c>
      <c r="F74" s="146">
        <f t="shared" si="2"/>
        <v>1872361</v>
      </c>
    </row>
    <row r="75" spans="1:6" ht="15.6" x14ac:dyDescent="0.3">
      <c r="A75" s="19"/>
      <c r="B75" s="3" t="s">
        <v>13</v>
      </c>
      <c r="C75" s="20">
        <f t="shared" si="3"/>
        <v>2478516</v>
      </c>
      <c r="D75" s="21">
        <v>3005823</v>
      </c>
      <c r="F75" s="146">
        <f t="shared" si="2"/>
        <v>-527307</v>
      </c>
    </row>
    <row r="76" spans="1:6" ht="15.6" x14ac:dyDescent="0.3">
      <c r="A76" s="19"/>
      <c r="B76" s="3" t="s">
        <v>14</v>
      </c>
      <c r="C76" s="20">
        <f t="shared" si="3"/>
        <v>28388200</v>
      </c>
      <c r="D76" s="21">
        <v>28388200</v>
      </c>
      <c r="F76" s="146">
        <f t="shared" si="2"/>
        <v>0</v>
      </c>
    </row>
    <row r="77" spans="1:6" ht="15.6" x14ac:dyDescent="0.3">
      <c r="A77" s="19"/>
      <c r="B77" s="3" t="s">
        <v>15</v>
      </c>
      <c r="C77" s="20">
        <f t="shared" si="3"/>
        <v>-24839355</v>
      </c>
      <c r="D77" s="21">
        <v>-22607803</v>
      </c>
      <c r="F77" s="146">
        <f t="shared" si="2"/>
        <v>-2231552</v>
      </c>
    </row>
    <row r="78" spans="1:6" ht="15.6" x14ac:dyDescent="0.3">
      <c r="A78" s="19"/>
      <c r="B78" s="27" t="s">
        <v>16</v>
      </c>
      <c r="C78" s="28">
        <f>SUM(C69:C77)</f>
        <v>1030416851</v>
      </c>
      <c r="D78" s="29">
        <f>SUM(D69:D77)</f>
        <v>900763955</v>
      </c>
      <c r="F78" s="147">
        <f t="shared" si="2"/>
        <v>129652896</v>
      </c>
    </row>
    <row r="79" spans="1:6" ht="15.6" x14ac:dyDescent="0.3">
      <c r="A79" s="19"/>
      <c r="B79" s="2"/>
      <c r="C79" s="17"/>
      <c r="D79" s="17"/>
    </row>
    <row r="80" spans="1:6" ht="15.6" x14ac:dyDescent="0.3">
      <c r="A80" s="19"/>
      <c r="B80" s="27" t="s">
        <v>17</v>
      </c>
      <c r="C80" s="20"/>
      <c r="D80" s="17"/>
    </row>
    <row r="81" spans="1:7" ht="15.6" x14ac:dyDescent="0.3">
      <c r="A81" s="19"/>
      <c r="B81" s="27" t="s">
        <v>18</v>
      </c>
      <c r="C81" s="20"/>
      <c r="D81" s="17"/>
    </row>
    <row r="82" spans="1:7" ht="15.6" x14ac:dyDescent="0.3">
      <c r="A82" s="19"/>
      <c r="B82" s="3" t="s">
        <v>19</v>
      </c>
      <c r="C82" s="20">
        <f>E20</f>
        <v>0</v>
      </c>
      <c r="D82" s="21">
        <v>0</v>
      </c>
      <c r="F82" s="146">
        <f t="shared" ref="F82:F89" si="4">+C82-D82</f>
        <v>0</v>
      </c>
    </row>
    <row r="83" spans="1:7" ht="15.6" x14ac:dyDescent="0.3">
      <c r="A83" s="19"/>
      <c r="B83" s="3" t="s">
        <v>20</v>
      </c>
      <c r="C83" s="20">
        <f t="shared" ref="C83:C88" si="5">E21</f>
        <v>395350997</v>
      </c>
      <c r="D83" s="21">
        <v>329526197</v>
      </c>
      <c r="F83" s="146">
        <f t="shared" si="4"/>
        <v>65824800</v>
      </c>
    </row>
    <row r="84" spans="1:7" ht="15.6" x14ac:dyDescent="0.3">
      <c r="A84" s="19"/>
      <c r="B84" s="3" t="s">
        <v>21</v>
      </c>
      <c r="C84" s="20">
        <f t="shared" si="5"/>
        <v>68625000</v>
      </c>
      <c r="D84" s="21">
        <v>65525000</v>
      </c>
      <c r="F84" s="146">
        <f t="shared" si="4"/>
        <v>3100000</v>
      </c>
    </row>
    <row r="85" spans="1:7" ht="15.6" x14ac:dyDescent="0.3">
      <c r="A85" s="17"/>
      <c r="B85" s="2" t="s">
        <v>22</v>
      </c>
      <c r="C85" s="20">
        <f t="shared" si="5"/>
        <v>0</v>
      </c>
      <c r="D85" s="21">
        <v>0</v>
      </c>
      <c r="F85" s="146">
        <f t="shared" si="4"/>
        <v>0</v>
      </c>
    </row>
    <row r="86" spans="1:7" ht="15.6" x14ac:dyDescent="0.3">
      <c r="A86" s="17"/>
      <c r="B86" s="3" t="s">
        <v>23</v>
      </c>
      <c r="C86" s="20">
        <f t="shared" si="5"/>
        <v>0</v>
      </c>
      <c r="D86" s="21">
        <v>0</v>
      </c>
      <c r="F86" s="146">
        <f t="shared" si="4"/>
        <v>0</v>
      </c>
    </row>
    <row r="87" spans="1:7" ht="15.6" x14ac:dyDescent="0.3">
      <c r="A87" s="17"/>
      <c r="B87" s="3" t="s">
        <v>24</v>
      </c>
      <c r="C87" s="20">
        <f t="shared" si="5"/>
        <v>23170310</v>
      </c>
      <c r="D87" s="21">
        <v>17547210</v>
      </c>
      <c r="F87" s="146">
        <f t="shared" si="4"/>
        <v>5623100</v>
      </c>
    </row>
    <row r="88" spans="1:7" ht="15.6" x14ac:dyDescent="0.3">
      <c r="A88" s="19"/>
      <c r="B88" s="3" t="s">
        <v>91</v>
      </c>
      <c r="C88" s="20">
        <f t="shared" si="5"/>
        <v>23170310</v>
      </c>
      <c r="D88" s="21">
        <v>17547210</v>
      </c>
      <c r="F88" s="146">
        <f t="shared" si="4"/>
        <v>5623100</v>
      </c>
    </row>
    <row r="89" spans="1:7" ht="15.6" x14ac:dyDescent="0.3">
      <c r="A89" s="19"/>
      <c r="B89" s="1" t="s">
        <v>26</v>
      </c>
      <c r="C89" s="28">
        <f>SUM(C82:C88)</f>
        <v>510316617</v>
      </c>
      <c r="D89" s="29">
        <f>SUM(D82:D88)</f>
        <v>430145617</v>
      </c>
      <c r="F89" s="147">
        <f t="shared" si="4"/>
        <v>80171000</v>
      </c>
      <c r="G89" s="146"/>
    </row>
    <row r="90" spans="1:7" ht="15.6" x14ac:dyDescent="0.3">
      <c r="A90" s="19"/>
      <c r="B90" s="2"/>
      <c r="C90" s="17"/>
      <c r="D90" s="17"/>
    </row>
    <row r="91" spans="1:7" ht="15.6" x14ac:dyDescent="0.3">
      <c r="A91" s="19"/>
      <c r="B91" s="1" t="s">
        <v>27</v>
      </c>
      <c r="C91" s="20"/>
      <c r="D91" s="17"/>
    </row>
    <row r="92" spans="1:7" ht="15.6" x14ac:dyDescent="0.3">
      <c r="A92" s="17"/>
      <c r="B92" s="3" t="s">
        <v>28</v>
      </c>
      <c r="C92" s="20">
        <f>E30</f>
        <v>25400000</v>
      </c>
      <c r="D92" s="21">
        <v>23895000</v>
      </c>
      <c r="F92" s="146">
        <f t="shared" ref="F92:F99" si="6">+C92-D92</f>
        <v>1505000</v>
      </c>
    </row>
    <row r="93" spans="1:7" ht="15.6" x14ac:dyDescent="0.3">
      <c r="A93" s="17"/>
      <c r="B93" s="3" t="s">
        <v>29</v>
      </c>
      <c r="C93" s="20">
        <f t="shared" ref="C93:C98" si="7">E31</f>
        <v>115440000</v>
      </c>
      <c r="D93" s="21">
        <v>92079000</v>
      </c>
      <c r="F93" s="146">
        <f t="shared" si="6"/>
        <v>23361000</v>
      </c>
    </row>
    <row r="94" spans="1:7" ht="15.6" x14ac:dyDescent="0.3">
      <c r="A94" s="19"/>
      <c r="B94" s="3" t="s">
        <v>30</v>
      </c>
      <c r="C94" s="20">
        <f t="shared" si="7"/>
        <v>178998500</v>
      </c>
      <c r="D94" s="21">
        <v>146752465</v>
      </c>
      <c r="F94" s="146">
        <f t="shared" si="6"/>
        <v>32246035</v>
      </c>
    </row>
    <row r="95" spans="1:7" ht="15.6" x14ac:dyDescent="0.3">
      <c r="A95" s="19"/>
      <c r="B95" s="3" t="s">
        <v>31</v>
      </c>
      <c r="C95" s="20">
        <f t="shared" si="7"/>
        <v>115851750</v>
      </c>
      <c r="D95" s="21">
        <v>87736250</v>
      </c>
      <c r="F95" s="146">
        <f t="shared" si="6"/>
        <v>28115500</v>
      </c>
    </row>
    <row r="96" spans="1:7" ht="15.6" x14ac:dyDescent="0.3">
      <c r="A96" s="19"/>
      <c r="B96" s="3" t="s">
        <v>32</v>
      </c>
      <c r="C96" s="20">
        <f t="shared" si="7"/>
        <v>18906175</v>
      </c>
      <c r="D96" s="21">
        <v>18906175</v>
      </c>
      <c r="F96" s="146">
        <f t="shared" si="6"/>
        <v>0</v>
      </c>
    </row>
    <row r="97" spans="1:7" ht="15.6" x14ac:dyDescent="0.3">
      <c r="A97" s="19"/>
      <c r="B97" s="3" t="s">
        <v>33</v>
      </c>
      <c r="C97" s="20">
        <f t="shared" si="7"/>
        <v>0</v>
      </c>
      <c r="D97" s="21">
        <v>0</v>
      </c>
      <c r="F97" s="146">
        <f t="shared" si="6"/>
        <v>0</v>
      </c>
    </row>
    <row r="98" spans="1:7" ht="15.6" x14ac:dyDescent="0.3">
      <c r="A98" s="19"/>
      <c r="B98" s="3" t="s">
        <v>34</v>
      </c>
      <c r="C98" s="20">
        <f t="shared" si="7"/>
        <v>65503809</v>
      </c>
      <c r="D98" s="43">
        <v>60299760</v>
      </c>
      <c r="F98" s="146">
        <f t="shared" si="6"/>
        <v>5204049</v>
      </c>
    </row>
    <row r="99" spans="1:7" ht="15.6" x14ac:dyDescent="0.3">
      <c r="A99" s="19"/>
      <c r="B99" s="1" t="s">
        <v>35</v>
      </c>
      <c r="C99" s="28">
        <f>SUM(C92:C98)</f>
        <v>520100234</v>
      </c>
      <c r="D99" s="29">
        <f>SUM(D92:D98)</f>
        <v>429668650</v>
      </c>
      <c r="F99" s="146">
        <f t="shared" si="6"/>
        <v>90431584</v>
      </c>
      <c r="G99" s="146"/>
    </row>
    <row r="100" spans="1:7" ht="15.6" x14ac:dyDescent="0.3">
      <c r="A100" s="17"/>
      <c r="B100" s="2"/>
      <c r="C100" s="17"/>
      <c r="D100" s="17"/>
    </row>
    <row r="101" spans="1:7" ht="15.6" x14ac:dyDescent="0.3">
      <c r="A101" s="32"/>
      <c r="B101" s="33" t="s">
        <v>36</v>
      </c>
      <c r="C101" s="34">
        <f>C89+C99</f>
        <v>1030416851</v>
      </c>
      <c r="D101" s="35">
        <f>+D89+D99</f>
        <v>859814267</v>
      </c>
      <c r="F101" s="147">
        <f>+C101-D101</f>
        <v>170602584</v>
      </c>
    </row>
    <row r="102" spans="1:7" x14ac:dyDescent="0.3">
      <c r="A102" s="4"/>
      <c r="B102" s="4"/>
      <c r="C102" s="4"/>
      <c r="D102" s="4"/>
    </row>
    <row r="104" spans="1:7" ht="15.6" x14ac:dyDescent="0.3">
      <c r="A104" s="37"/>
      <c r="B104" s="38" t="s">
        <v>37</v>
      </c>
      <c r="C104" s="39" t="s">
        <v>38</v>
      </c>
      <c r="D104" s="40" t="s">
        <v>39</v>
      </c>
    </row>
    <row r="105" spans="1:7" ht="15.6" x14ac:dyDescent="0.3">
      <c r="A105" s="41"/>
      <c r="B105" s="42"/>
      <c r="C105" s="42"/>
      <c r="D105" s="42"/>
    </row>
    <row r="106" spans="1:7" ht="15.6" x14ac:dyDescent="0.3">
      <c r="A106" s="41"/>
      <c r="B106" s="42"/>
      <c r="C106" s="42"/>
      <c r="D106" s="42"/>
    </row>
    <row r="107" spans="1:7" ht="15.6" x14ac:dyDescent="0.3">
      <c r="A107" s="42"/>
      <c r="B107" s="42"/>
      <c r="C107" s="42"/>
      <c r="D107" s="42"/>
    </row>
    <row r="108" spans="1:7" ht="15.6" x14ac:dyDescent="0.3">
      <c r="A108" s="42"/>
      <c r="B108" s="42"/>
      <c r="C108" s="42"/>
      <c r="D108" s="42"/>
    </row>
    <row r="109" spans="1:7" ht="15.6" x14ac:dyDescent="0.3">
      <c r="A109" s="40">
        <v>1</v>
      </c>
      <c r="B109" s="38" t="s">
        <v>40</v>
      </c>
      <c r="C109" s="38" t="s">
        <v>41</v>
      </c>
      <c r="D109" s="40" t="s">
        <v>42</v>
      </c>
    </row>
    <row r="110" spans="1:7" ht="15.6" x14ac:dyDescent="0.3">
      <c r="A110" s="40"/>
      <c r="B110" s="42"/>
      <c r="C110" s="42"/>
      <c r="D110" s="42"/>
    </row>
    <row r="111" spans="1:7" ht="15.6" x14ac:dyDescent="0.3">
      <c r="A111" s="40"/>
      <c r="B111" s="42"/>
      <c r="C111" s="42"/>
      <c r="D111" s="42"/>
    </row>
    <row r="112" spans="1:7" ht="15.6" x14ac:dyDescent="0.3">
      <c r="A112" s="40"/>
      <c r="B112" s="42"/>
      <c r="C112" s="42"/>
      <c r="D112" s="42"/>
    </row>
    <row r="113" spans="1:4" ht="15.6" x14ac:dyDescent="0.3">
      <c r="A113" s="40"/>
      <c r="B113" s="42"/>
      <c r="C113" s="42"/>
      <c r="D113" s="42"/>
    </row>
    <row r="114" spans="1:4" ht="15.6" x14ac:dyDescent="0.3">
      <c r="A114" s="40">
        <v>2</v>
      </c>
      <c r="B114" s="40" t="s">
        <v>43</v>
      </c>
      <c r="C114" s="40" t="s">
        <v>44</v>
      </c>
      <c r="D114" s="40" t="s">
        <v>45</v>
      </c>
    </row>
    <row r="115" spans="1:4" ht="15.6" x14ac:dyDescent="0.3">
      <c r="A115" s="40"/>
      <c r="B115" s="42"/>
      <c r="C115" s="40"/>
      <c r="D115" s="42"/>
    </row>
    <row r="116" spans="1:4" ht="15.6" x14ac:dyDescent="0.3">
      <c r="A116" s="40"/>
      <c r="B116" s="42"/>
      <c r="C116" s="40"/>
      <c r="D116" s="42"/>
    </row>
    <row r="117" spans="1:4" ht="15.6" x14ac:dyDescent="0.3">
      <c r="A117" s="40"/>
      <c r="B117" s="42"/>
      <c r="C117" s="40"/>
      <c r="D117" s="42"/>
    </row>
    <row r="118" spans="1:4" ht="15.6" x14ac:dyDescent="0.3">
      <c r="A118" s="40">
        <v>3</v>
      </c>
      <c r="B118" s="40" t="s">
        <v>46</v>
      </c>
      <c r="C118" s="40" t="s">
        <v>47</v>
      </c>
      <c r="D118" s="40" t="s">
        <v>48</v>
      </c>
    </row>
  </sheetData>
  <pageMargins left="0.31496062992125984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6"/>
  <sheetViews>
    <sheetView topLeftCell="A46" workbookViewId="0">
      <selection activeCell="A56" sqref="A56:D89"/>
    </sheetView>
  </sheetViews>
  <sheetFormatPr defaultRowHeight="14.4" x14ac:dyDescent="0.3"/>
  <cols>
    <col min="1" max="1" width="5.88671875" customWidth="1"/>
    <col min="2" max="2" width="38.88671875" bestFit="1" customWidth="1"/>
    <col min="3" max="3" width="23.6640625" customWidth="1"/>
    <col min="4" max="4" width="24" customWidth="1"/>
    <col min="5" max="5" width="17.88671875" bestFit="1" customWidth="1"/>
  </cols>
  <sheetData>
    <row r="1" spans="1:5" ht="18" x14ac:dyDescent="0.35">
      <c r="A1" s="44" t="s">
        <v>422</v>
      </c>
      <c r="B1" s="40"/>
      <c r="C1" s="37"/>
      <c r="D1" s="42"/>
      <c r="E1" s="42"/>
    </row>
    <row r="2" spans="1:5" ht="18" x14ac:dyDescent="0.35">
      <c r="A2" s="45"/>
      <c r="B2" s="37"/>
      <c r="C2" s="37"/>
      <c r="D2" s="42"/>
      <c r="E2" s="42"/>
    </row>
    <row r="3" spans="1:5" ht="18" x14ac:dyDescent="0.35">
      <c r="A3" s="46" t="s">
        <v>50</v>
      </c>
      <c r="B3" s="47" t="s">
        <v>1</v>
      </c>
      <c r="C3" s="48" t="s">
        <v>51</v>
      </c>
      <c r="D3" s="49" t="s">
        <v>52</v>
      </c>
      <c r="E3" s="47" t="s">
        <v>51</v>
      </c>
    </row>
    <row r="4" spans="1:5" ht="18" x14ac:dyDescent="0.35">
      <c r="A4" s="50"/>
      <c r="B4" s="51"/>
      <c r="C4" s="52"/>
      <c r="D4" s="53" t="s">
        <v>53</v>
      </c>
      <c r="E4" s="53" t="s">
        <v>54</v>
      </c>
    </row>
    <row r="5" spans="1:5" ht="18" x14ac:dyDescent="0.35">
      <c r="A5" s="54">
        <v>1</v>
      </c>
      <c r="B5" s="55" t="s">
        <v>55</v>
      </c>
      <c r="C5" s="56"/>
      <c r="D5" s="57"/>
      <c r="E5" s="58"/>
    </row>
    <row r="6" spans="1:5" ht="18" x14ac:dyDescent="0.35">
      <c r="A6" s="59"/>
      <c r="B6" s="60" t="s">
        <v>56</v>
      </c>
      <c r="C6" s="61">
        <f>67496000+50000</f>
        <v>67546000</v>
      </c>
      <c r="D6" s="62">
        <v>0</v>
      </c>
      <c r="E6" s="63">
        <f>SUM(C6:D6)</f>
        <v>67546000</v>
      </c>
    </row>
    <row r="7" spans="1:5" ht="18" x14ac:dyDescent="0.35">
      <c r="A7" s="64"/>
      <c r="B7" s="60" t="s">
        <v>57</v>
      </c>
      <c r="C7" s="61">
        <v>750000</v>
      </c>
      <c r="D7" s="62">
        <v>0</v>
      </c>
      <c r="E7" s="63">
        <f t="shared" ref="E7:E16" si="0">SUM(C7:D7)</f>
        <v>750000</v>
      </c>
    </row>
    <row r="8" spans="1:5" ht="18" x14ac:dyDescent="0.35">
      <c r="A8" s="59"/>
      <c r="B8" s="60" t="s">
        <v>58</v>
      </c>
      <c r="C8" s="61">
        <v>8165000</v>
      </c>
      <c r="D8" s="62">
        <v>0</v>
      </c>
      <c r="E8" s="63">
        <f t="shared" si="0"/>
        <v>8165000</v>
      </c>
    </row>
    <row r="9" spans="1:5" ht="18" x14ac:dyDescent="0.35">
      <c r="A9" s="59"/>
      <c r="B9" s="60" t="s">
        <v>59</v>
      </c>
      <c r="C9" s="61">
        <v>393092</v>
      </c>
      <c r="D9" s="65">
        <v>1856350</v>
      </c>
      <c r="E9" s="63">
        <f t="shared" si="0"/>
        <v>2249442</v>
      </c>
    </row>
    <row r="10" spans="1:5" ht="18" x14ac:dyDescent="0.35">
      <c r="A10" s="59"/>
      <c r="B10" s="60" t="s">
        <v>60</v>
      </c>
      <c r="C10" s="61">
        <v>0</v>
      </c>
      <c r="D10" s="65">
        <v>94684500</v>
      </c>
      <c r="E10" s="63">
        <f t="shared" si="0"/>
        <v>94684500</v>
      </c>
    </row>
    <row r="11" spans="1:5" ht="15.6" x14ac:dyDescent="0.3">
      <c r="A11" s="66"/>
      <c r="B11" s="60" t="s">
        <v>61</v>
      </c>
      <c r="C11" s="61">
        <f>231179+1382007</f>
        <v>1613186</v>
      </c>
      <c r="D11" s="65">
        <f>SUM(J11:L11)</f>
        <v>0</v>
      </c>
      <c r="E11" s="63">
        <f t="shared" si="0"/>
        <v>1613186</v>
      </c>
    </row>
    <row r="12" spans="1:5" ht="15.6" x14ac:dyDescent="0.3">
      <c r="A12" s="66"/>
      <c r="B12" s="67" t="s">
        <v>62</v>
      </c>
      <c r="C12" s="61">
        <v>3812499</v>
      </c>
      <c r="D12" s="65">
        <f>SUM(J12:L12)</f>
        <v>0</v>
      </c>
      <c r="E12" s="63">
        <f t="shared" si="0"/>
        <v>3812499</v>
      </c>
    </row>
    <row r="13" spans="1:5" ht="15.6" x14ac:dyDescent="0.3">
      <c r="A13" s="66"/>
      <c r="B13" s="67"/>
      <c r="C13" s="63"/>
      <c r="D13" s="65"/>
      <c r="E13" s="63">
        <f t="shared" si="0"/>
        <v>0</v>
      </c>
    </row>
    <row r="14" spans="1:5" ht="18" x14ac:dyDescent="0.35">
      <c r="A14" s="59"/>
      <c r="B14" s="68" t="s">
        <v>63</v>
      </c>
      <c r="C14" s="69">
        <f>SUM(C6:C13)</f>
        <v>82279777</v>
      </c>
      <c r="D14" s="70">
        <f>SUM(D6:D13)</f>
        <v>96540850</v>
      </c>
      <c r="E14" s="71">
        <f t="shared" si="0"/>
        <v>178820627</v>
      </c>
    </row>
    <row r="15" spans="1:5" ht="18" x14ac:dyDescent="0.35">
      <c r="A15" s="59"/>
      <c r="B15" s="67"/>
      <c r="C15" s="67"/>
      <c r="D15" s="65"/>
      <c r="E15" s="63">
        <f t="shared" si="0"/>
        <v>0</v>
      </c>
    </row>
    <row r="16" spans="1:5" ht="18" x14ac:dyDescent="0.35">
      <c r="A16" s="72">
        <v>2</v>
      </c>
      <c r="B16" s="73" t="s">
        <v>64</v>
      </c>
      <c r="C16" s="74"/>
      <c r="E16" s="63">
        <f t="shared" si="0"/>
        <v>0</v>
      </c>
    </row>
    <row r="17" spans="1:5" ht="18" x14ac:dyDescent="0.35">
      <c r="A17" s="72"/>
      <c r="B17" s="60" t="s">
        <v>65</v>
      </c>
      <c r="C17" s="74"/>
      <c r="D17" s="153">
        <v>0</v>
      </c>
      <c r="E17" s="63"/>
    </row>
    <row r="18" spans="1:5" ht="18" x14ac:dyDescent="0.35">
      <c r="A18" s="59"/>
      <c r="B18" s="60" t="s">
        <v>425</v>
      </c>
      <c r="C18" s="61">
        <v>1255350</v>
      </c>
      <c r="D18" s="65">
        <v>738000</v>
      </c>
      <c r="E18" s="63">
        <f>SUM(C18:D18)</f>
        <v>1993350</v>
      </c>
    </row>
    <row r="19" spans="1:5" ht="18" x14ac:dyDescent="0.35">
      <c r="A19" s="59"/>
      <c r="B19" s="60" t="s">
        <v>68</v>
      </c>
      <c r="C19" s="61">
        <v>5513500</v>
      </c>
      <c r="D19" s="65">
        <v>0</v>
      </c>
      <c r="E19" s="63">
        <f t="shared" ref="E19:E29" si="1">SUM(C19:D19)</f>
        <v>5513500</v>
      </c>
    </row>
    <row r="20" spans="1:5" ht="18" x14ac:dyDescent="0.35">
      <c r="A20" s="59"/>
      <c r="B20" s="60" t="s">
        <v>69</v>
      </c>
      <c r="C20" s="61">
        <f>68000+79166</f>
        <v>147166</v>
      </c>
      <c r="D20" s="65">
        <v>0</v>
      </c>
      <c r="E20" s="63">
        <f t="shared" si="1"/>
        <v>147166</v>
      </c>
    </row>
    <row r="21" spans="1:5" ht="18" x14ac:dyDescent="0.35">
      <c r="A21" s="59"/>
      <c r="B21" s="60" t="s">
        <v>70</v>
      </c>
      <c r="C21" s="61">
        <f>46235+209235+762501</f>
        <v>1017971</v>
      </c>
      <c r="D21" s="65">
        <v>0</v>
      </c>
      <c r="E21" s="63">
        <f t="shared" si="1"/>
        <v>1017971</v>
      </c>
    </row>
    <row r="22" spans="1:5" ht="18" x14ac:dyDescent="0.35">
      <c r="A22" s="59"/>
      <c r="B22" s="60" t="s">
        <v>71</v>
      </c>
      <c r="C22" s="61">
        <v>1850000</v>
      </c>
      <c r="D22" s="65">
        <v>0</v>
      </c>
      <c r="E22" s="63">
        <f t="shared" si="1"/>
        <v>1850000</v>
      </c>
    </row>
    <row r="23" spans="1:5" ht="18" x14ac:dyDescent="0.35">
      <c r="A23" s="59"/>
      <c r="B23" s="60" t="s">
        <v>72</v>
      </c>
      <c r="C23" s="61">
        <v>2231552</v>
      </c>
      <c r="D23" s="65">
        <v>0</v>
      </c>
      <c r="E23" s="63">
        <f t="shared" si="1"/>
        <v>2231552</v>
      </c>
    </row>
    <row r="24" spans="1:5" ht="18" x14ac:dyDescent="0.35">
      <c r="A24" s="59"/>
      <c r="B24" s="60" t="s">
        <v>73</v>
      </c>
      <c r="C24" s="61">
        <v>2004000</v>
      </c>
      <c r="D24" s="65">
        <v>0</v>
      </c>
      <c r="E24" s="63">
        <f t="shared" si="1"/>
        <v>2004000</v>
      </c>
    </row>
    <row r="25" spans="1:5" ht="18" x14ac:dyDescent="0.35">
      <c r="A25" s="59"/>
      <c r="B25" s="60" t="s">
        <v>74</v>
      </c>
      <c r="C25" s="61">
        <v>469000</v>
      </c>
      <c r="D25" s="65">
        <v>0</v>
      </c>
      <c r="E25" s="63">
        <f t="shared" si="1"/>
        <v>469000</v>
      </c>
    </row>
    <row r="26" spans="1:5" ht="18" x14ac:dyDescent="0.35">
      <c r="A26" s="59"/>
      <c r="B26" s="60" t="s">
        <v>75</v>
      </c>
      <c r="C26" s="61"/>
      <c r="D26" s="65">
        <v>392829</v>
      </c>
      <c r="E26" s="63">
        <f t="shared" si="1"/>
        <v>392829</v>
      </c>
    </row>
    <row r="27" spans="1:5" ht="18" x14ac:dyDescent="0.35">
      <c r="A27" s="59"/>
      <c r="B27" s="60" t="s">
        <v>76</v>
      </c>
      <c r="C27" s="61"/>
      <c r="D27" s="65">
        <v>83080860</v>
      </c>
      <c r="E27" s="63">
        <f t="shared" si="1"/>
        <v>83080860</v>
      </c>
    </row>
    <row r="28" spans="1:5" ht="18" x14ac:dyDescent="0.35">
      <c r="A28" s="64"/>
      <c r="B28" s="60" t="s">
        <v>78</v>
      </c>
      <c r="C28" s="61">
        <v>3000000</v>
      </c>
      <c r="D28" s="65">
        <v>6109000</v>
      </c>
      <c r="E28" s="63">
        <f t="shared" si="1"/>
        <v>9109000</v>
      </c>
    </row>
    <row r="29" spans="1:5" ht="15.6" x14ac:dyDescent="0.3">
      <c r="A29" s="66"/>
      <c r="B29" s="60" t="s">
        <v>79</v>
      </c>
      <c r="C29" s="61">
        <v>5507590</v>
      </c>
      <c r="D29" s="65">
        <v>0</v>
      </c>
      <c r="E29" s="63">
        <f t="shared" si="1"/>
        <v>5507590</v>
      </c>
    </row>
    <row r="30" spans="1:5" ht="15.6" x14ac:dyDescent="0.3">
      <c r="A30" s="66"/>
      <c r="B30" s="67"/>
      <c r="C30" s="61"/>
      <c r="D30" s="65"/>
      <c r="E30" s="63"/>
    </row>
    <row r="31" spans="1:5" ht="15.6" x14ac:dyDescent="0.3">
      <c r="A31" s="75"/>
      <c r="B31" s="67"/>
      <c r="C31" s="67"/>
      <c r="D31" s="65"/>
      <c r="E31" s="63"/>
    </row>
    <row r="32" spans="1:5" ht="18" x14ac:dyDescent="0.35">
      <c r="A32" s="59">
        <v>3</v>
      </c>
      <c r="B32" s="68" t="s">
        <v>80</v>
      </c>
      <c r="C32" s="69">
        <f>SUM(C18:C31)</f>
        <v>22996129</v>
      </c>
      <c r="D32" s="70">
        <f>SUM(D18:D31)</f>
        <v>90320689</v>
      </c>
      <c r="E32" s="71">
        <f>SUM(E15:E31)</f>
        <v>113316818</v>
      </c>
    </row>
    <row r="33" spans="1:5" ht="18" x14ac:dyDescent="0.35">
      <c r="A33" s="64"/>
      <c r="B33" s="67"/>
      <c r="C33" s="67"/>
      <c r="D33" s="65"/>
      <c r="E33" s="63">
        <f t="shared" ref="E33:E34" si="2">SUM(C33:D33)</f>
        <v>0</v>
      </c>
    </row>
    <row r="34" spans="1:5" ht="18" x14ac:dyDescent="0.35">
      <c r="A34" s="76"/>
      <c r="B34" s="77" t="s">
        <v>81</v>
      </c>
      <c r="C34" s="78">
        <f>C14-C32</f>
        <v>59283648</v>
      </c>
      <c r="D34" s="78">
        <f>D14-D32</f>
        <v>6220161</v>
      </c>
      <c r="E34" s="79">
        <f t="shared" si="2"/>
        <v>65503809</v>
      </c>
    </row>
    <row r="37" spans="1:5" ht="15.6" x14ac:dyDescent="0.3">
      <c r="A37" s="37"/>
      <c r="B37" s="38" t="s">
        <v>37</v>
      </c>
      <c r="C37" s="39" t="s">
        <v>38</v>
      </c>
      <c r="D37" s="40" t="s">
        <v>39</v>
      </c>
    </row>
    <row r="38" spans="1:5" ht="15.6" x14ac:dyDescent="0.3">
      <c r="A38" s="41"/>
      <c r="B38" s="42"/>
      <c r="C38" s="42"/>
      <c r="D38" s="42"/>
    </row>
    <row r="39" spans="1:5" ht="15.6" x14ac:dyDescent="0.3">
      <c r="A39" s="41"/>
      <c r="B39" s="42"/>
      <c r="C39" s="42"/>
      <c r="D39" s="42"/>
    </row>
    <row r="40" spans="1:5" ht="15.6" x14ac:dyDescent="0.3">
      <c r="A40" s="42"/>
      <c r="B40" s="42"/>
      <c r="C40" s="42"/>
      <c r="D40" s="42"/>
    </row>
    <row r="41" spans="1:5" ht="15.6" x14ac:dyDescent="0.3">
      <c r="A41" s="42"/>
      <c r="B41" s="42"/>
      <c r="C41" s="42"/>
      <c r="D41" s="42"/>
    </row>
    <row r="42" spans="1:5" ht="15.6" x14ac:dyDescent="0.3">
      <c r="A42" s="40">
        <v>1</v>
      </c>
      <c r="B42" s="38" t="s">
        <v>40</v>
      </c>
      <c r="C42" s="38" t="s">
        <v>41</v>
      </c>
      <c r="D42" s="40" t="s">
        <v>42</v>
      </c>
    </row>
    <row r="43" spans="1:5" ht="15.6" x14ac:dyDescent="0.3">
      <c r="A43" s="40"/>
      <c r="B43" s="42"/>
      <c r="C43" s="42"/>
      <c r="D43" s="42"/>
    </row>
    <row r="44" spans="1:5" ht="15.6" x14ac:dyDescent="0.3">
      <c r="A44" s="40"/>
      <c r="B44" s="42"/>
      <c r="C44" s="42"/>
      <c r="D44" s="42"/>
    </row>
    <row r="45" spans="1:5" ht="15.6" x14ac:dyDescent="0.3">
      <c r="A45" s="40"/>
      <c r="B45" s="42"/>
      <c r="C45" s="42"/>
      <c r="D45" s="42"/>
    </row>
    <row r="46" spans="1:5" ht="15.6" x14ac:dyDescent="0.3">
      <c r="A46" s="40"/>
      <c r="B46" s="42"/>
      <c r="C46" s="42"/>
      <c r="D46" s="42"/>
    </row>
    <row r="47" spans="1:5" ht="15.6" x14ac:dyDescent="0.3">
      <c r="A47" s="40">
        <v>2</v>
      </c>
      <c r="B47" s="40" t="s">
        <v>43</v>
      </c>
      <c r="C47" s="40" t="s">
        <v>44</v>
      </c>
      <c r="D47" s="40" t="s">
        <v>45</v>
      </c>
    </row>
    <row r="48" spans="1:5" ht="15.6" x14ac:dyDescent="0.3">
      <c r="A48" s="40"/>
      <c r="B48" s="42"/>
      <c r="C48" s="40"/>
      <c r="D48" s="42"/>
    </row>
    <row r="49" spans="1:5" ht="15.6" x14ac:dyDescent="0.3">
      <c r="A49" s="40"/>
      <c r="B49" s="42"/>
      <c r="C49" s="40"/>
      <c r="D49" s="42"/>
    </row>
    <row r="50" spans="1:5" ht="15.6" x14ac:dyDescent="0.3">
      <c r="A50" s="40"/>
      <c r="B50" s="42"/>
      <c r="C50" s="40"/>
      <c r="D50" s="42"/>
    </row>
    <row r="51" spans="1:5" ht="15.6" x14ac:dyDescent="0.3">
      <c r="A51" s="40">
        <v>3</v>
      </c>
      <c r="B51" s="40" t="s">
        <v>46</v>
      </c>
      <c r="C51" s="40" t="s">
        <v>47</v>
      </c>
      <c r="D51" s="40" t="s">
        <v>48</v>
      </c>
    </row>
    <row r="56" spans="1:5" ht="18" x14ac:dyDescent="0.35">
      <c r="A56" s="44" t="s">
        <v>423</v>
      </c>
      <c r="B56" s="40"/>
      <c r="C56" s="37"/>
      <c r="D56" s="42"/>
      <c r="E56" s="42"/>
    </row>
    <row r="57" spans="1:5" ht="18" x14ac:dyDescent="0.35">
      <c r="A57" s="45" t="s">
        <v>424</v>
      </c>
      <c r="B57" s="37"/>
      <c r="C57" s="37"/>
      <c r="D57" s="42"/>
      <c r="E57" s="42"/>
    </row>
    <row r="58" spans="1:5" ht="18" x14ac:dyDescent="0.35">
      <c r="A58" s="45"/>
      <c r="B58" s="37"/>
      <c r="C58" s="37"/>
      <c r="D58" s="42"/>
      <c r="E58" s="42"/>
    </row>
    <row r="59" spans="1:5" ht="18" x14ac:dyDescent="0.35">
      <c r="A59" s="46" t="s">
        <v>50</v>
      </c>
      <c r="B59" s="47" t="s">
        <v>1</v>
      </c>
      <c r="C59" s="48" t="s">
        <v>51</v>
      </c>
      <c r="D59" s="49" t="s">
        <v>51</v>
      </c>
      <c r="E59" s="80"/>
    </row>
    <row r="60" spans="1:5" ht="18" x14ac:dyDescent="0.35">
      <c r="A60" s="50"/>
      <c r="B60" s="51"/>
      <c r="C60" s="52" t="s">
        <v>409</v>
      </c>
      <c r="D60" s="53" t="s">
        <v>82</v>
      </c>
      <c r="E60" s="81"/>
    </row>
    <row r="61" spans="1:5" ht="18" x14ac:dyDescent="0.35">
      <c r="A61" s="54">
        <v>1</v>
      </c>
      <c r="B61" s="55" t="s">
        <v>55</v>
      </c>
      <c r="C61" s="56"/>
      <c r="D61" s="57"/>
      <c r="E61" s="82"/>
    </row>
    <row r="62" spans="1:5" ht="18" x14ac:dyDescent="0.35">
      <c r="A62" s="59"/>
      <c r="B62" s="60" t="s">
        <v>56</v>
      </c>
      <c r="C62" s="61">
        <f>E6</f>
        <v>67546000</v>
      </c>
      <c r="D62" s="62">
        <v>63863000</v>
      </c>
      <c r="E62" s="83">
        <f>+C62-D62</f>
        <v>3683000</v>
      </c>
    </row>
    <row r="63" spans="1:5" ht="18" x14ac:dyDescent="0.35">
      <c r="A63" s="64"/>
      <c r="B63" s="60" t="s">
        <v>57</v>
      </c>
      <c r="C63" s="61">
        <f t="shared" ref="C63:C68" si="3">E7</f>
        <v>750000</v>
      </c>
      <c r="D63" s="62">
        <v>850000</v>
      </c>
      <c r="E63" s="83">
        <f t="shared" ref="E63:E70" si="4">+C63-D63</f>
        <v>-100000</v>
      </c>
    </row>
    <row r="64" spans="1:5" ht="18" x14ac:dyDescent="0.35">
      <c r="A64" s="59"/>
      <c r="B64" s="60" t="s">
        <v>58</v>
      </c>
      <c r="C64" s="61">
        <f t="shared" si="3"/>
        <v>8165000</v>
      </c>
      <c r="D64" s="62">
        <v>7841000</v>
      </c>
      <c r="E64" s="83">
        <f t="shared" si="4"/>
        <v>324000</v>
      </c>
    </row>
    <row r="65" spans="1:5" ht="18" x14ac:dyDescent="0.35">
      <c r="A65" s="59"/>
      <c r="B65" s="60" t="s">
        <v>59</v>
      </c>
      <c r="C65" s="61">
        <f t="shared" si="3"/>
        <v>2249442</v>
      </c>
      <c r="D65" s="65">
        <v>1443700</v>
      </c>
      <c r="E65" s="83">
        <f t="shared" si="4"/>
        <v>805742</v>
      </c>
    </row>
    <row r="66" spans="1:5" ht="18" x14ac:dyDescent="0.35">
      <c r="A66" s="59"/>
      <c r="B66" s="60" t="s">
        <v>60</v>
      </c>
      <c r="C66" s="61">
        <f t="shared" si="3"/>
        <v>94684500</v>
      </c>
      <c r="D66" s="65">
        <v>58776725</v>
      </c>
      <c r="E66" s="83">
        <f t="shared" si="4"/>
        <v>35907775</v>
      </c>
    </row>
    <row r="67" spans="1:5" ht="15.6" x14ac:dyDescent="0.3">
      <c r="A67" s="66"/>
      <c r="B67" s="60" t="s">
        <v>61</v>
      </c>
      <c r="C67" s="61">
        <f t="shared" si="3"/>
        <v>1613186</v>
      </c>
      <c r="D67" s="65">
        <v>1457984</v>
      </c>
      <c r="E67" s="83">
        <f t="shared" si="4"/>
        <v>155202</v>
      </c>
    </row>
    <row r="68" spans="1:5" ht="15.6" x14ac:dyDescent="0.3">
      <c r="A68" s="66"/>
      <c r="B68" s="67" t="s">
        <v>62</v>
      </c>
      <c r="C68" s="61">
        <f t="shared" si="3"/>
        <v>3812499</v>
      </c>
      <c r="D68" s="65">
        <v>4437500</v>
      </c>
      <c r="E68" s="83">
        <f t="shared" si="4"/>
        <v>-625001</v>
      </c>
    </row>
    <row r="69" spans="1:5" ht="15.6" x14ac:dyDescent="0.3">
      <c r="A69" s="66"/>
      <c r="B69" s="67"/>
      <c r="C69" s="63"/>
      <c r="D69" s="65"/>
      <c r="E69" s="83"/>
    </row>
    <row r="70" spans="1:5" ht="18" x14ac:dyDescent="0.35">
      <c r="A70" s="59"/>
      <c r="B70" s="68" t="s">
        <v>63</v>
      </c>
      <c r="C70" s="69">
        <f>SUM(C62:C69)</f>
        <v>178820627</v>
      </c>
      <c r="D70" s="70">
        <f>SUM(D62:D69)</f>
        <v>138669909</v>
      </c>
      <c r="E70" s="85">
        <f t="shared" si="4"/>
        <v>40150718</v>
      </c>
    </row>
    <row r="71" spans="1:5" ht="18" x14ac:dyDescent="0.35">
      <c r="A71" s="59"/>
      <c r="B71" s="67"/>
      <c r="C71" s="67"/>
      <c r="D71" s="65"/>
      <c r="E71" s="83"/>
    </row>
    <row r="72" spans="1:5" ht="18" x14ac:dyDescent="0.35">
      <c r="A72" s="72">
        <v>2</v>
      </c>
      <c r="B72" s="73" t="s">
        <v>64</v>
      </c>
      <c r="C72" s="74"/>
      <c r="D72" s="66"/>
      <c r="E72" s="83"/>
    </row>
    <row r="73" spans="1:5" ht="18" x14ac:dyDescent="0.35">
      <c r="A73" s="59"/>
      <c r="B73" s="60" t="s">
        <v>426</v>
      </c>
      <c r="C73" s="61">
        <f>E18</f>
        <v>1993350</v>
      </c>
      <c r="D73" s="65">
        <f>2221600+799050</f>
        <v>3020650</v>
      </c>
      <c r="E73" s="83">
        <f t="shared" ref="E73:E84" si="5">+C73-D73</f>
        <v>-1027300</v>
      </c>
    </row>
    <row r="74" spans="1:5" ht="18" x14ac:dyDescent="0.35">
      <c r="A74" s="59"/>
      <c r="B74" s="60" t="s">
        <v>68</v>
      </c>
      <c r="C74" s="61">
        <f t="shared" ref="C74:C84" si="6">E19</f>
        <v>5513500</v>
      </c>
      <c r="D74" s="65">
        <v>6616300</v>
      </c>
      <c r="E74" s="83">
        <f t="shared" si="5"/>
        <v>-1102800</v>
      </c>
    </row>
    <row r="75" spans="1:5" ht="18" x14ac:dyDescent="0.35">
      <c r="A75" s="59"/>
      <c r="B75" s="60" t="s">
        <v>69</v>
      </c>
      <c r="C75" s="61">
        <f t="shared" si="6"/>
        <v>147166</v>
      </c>
      <c r="D75" s="65">
        <v>78000</v>
      </c>
      <c r="E75" s="83">
        <f t="shared" si="5"/>
        <v>69166</v>
      </c>
    </row>
    <row r="76" spans="1:5" ht="18" x14ac:dyDescent="0.35">
      <c r="A76" s="59"/>
      <c r="B76" s="60" t="s">
        <v>70</v>
      </c>
      <c r="C76" s="61">
        <f t="shared" si="6"/>
        <v>1017971</v>
      </c>
      <c r="D76" s="65">
        <v>1179095</v>
      </c>
      <c r="E76" s="83">
        <f t="shared" si="5"/>
        <v>-161124</v>
      </c>
    </row>
    <row r="77" spans="1:5" ht="18" x14ac:dyDescent="0.35">
      <c r="A77" s="59"/>
      <c r="B77" s="60" t="s">
        <v>71</v>
      </c>
      <c r="C77" s="61">
        <f t="shared" si="6"/>
        <v>1850000</v>
      </c>
      <c r="D77" s="65">
        <v>1450000</v>
      </c>
      <c r="E77" s="83">
        <f t="shared" si="5"/>
        <v>400000</v>
      </c>
    </row>
    <row r="78" spans="1:5" ht="18" x14ac:dyDescent="0.35">
      <c r="A78" s="59"/>
      <c r="B78" s="60" t="s">
        <v>72</v>
      </c>
      <c r="C78" s="61">
        <f t="shared" si="6"/>
        <v>2231552</v>
      </c>
      <c r="D78" s="65">
        <v>2093427</v>
      </c>
      <c r="E78" s="83">
        <f t="shared" si="5"/>
        <v>138125</v>
      </c>
    </row>
    <row r="79" spans="1:5" ht="18" x14ac:dyDescent="0.35">
      <c r="A79" s="59"/>
      <c r="B79" s="60" t="s">
        <v>73</v>
      </c>
      <c r="C79" s="61">
        <f t="shared" si="6"/>
        <v>2004000</v>
      </c>
      <c r="D79" s="65">
        <v>3905000</v>
      </c>
      <c r="E79" s="83">
        <f t="shared" si="5"/>
        <v>-1901000</v>
      </c>
    </row>
    <row r="80" spans="1:5" ht="18" x14ac:dyDescent="0.35">
      <c r="A80" s="59"/>
      <c r="B80" s="60" t="s">
        <v>74</v>
      </c>
      <c r="C80" s="61">
        <f t="shared" si="6"/>
        <v>469000</v>
      </c>
      <c r="D80" s="65">
        <v>445000</v>
      </c>
      <c r="E80" s="83">
        <f t="shared" si="5"/>
        <v>24000</v>
      </c>
    </row>
    <row r="81" spans="1:5" ht="18" x14ac:dyDescent="0.35">
      <c r="A81" s="59"/>
      <c r="B81" s="60" t="s">
        <v>75</v>
      </c>
      <c r="C81" s="61">
        <f t="shared" si="6"/>
        <v>392829</v>
      </c>
      <c r="D81" s="65">
        <v>3499240</v>
      </c>
      <c r="E81" s="83">
        <f t="shared" si="5"/>
        <v>-3106411</v>
      </c>
    </row>
    <row r="82" spans="1:5" ht="18" x14ac:dyDescent="0.35">
      <c r="A82" s="59"/>
      <c r="B82" s="60" t="s">
        <v>76</v>
      </c>
      <c r="C82" s="61">
        <f t="shared" si="6"/>
        <v>83080860</v>
      </c>
      <c r="D82" s="65">
        <v>50480204</v>
      </c>
      <c r="E82" s="83">
        <f t="shared" si="5"/>
        <v>32600656</v>
      </c>
    </row>
    <row r="83" spans="1:5" ht="18" x14ac:dyDescent="0.35">
      <c r="A83" s="64"/>
      <c r="B83" s="60" t="s">
        <v>78</v>
      </c>
      <c r="C83" s="61">
        <f t="shared" si="6"/>
        <v>9109000</v>
      </c>
      <c r="D83" s="65">
        <f>6134000+1150000</f>
        <v>7284000</v>
      </c>
      <c r="E83" s="83">
        <f t="shared" si="5"/>
        <v>1825000</v>
      </c>
    </row>
    <row r="84" spans="1:5" ht="15.6" x14ac:dyDescent="0.3">
      <c r="A84" s="66"/>
      <c r="B84" s="60" t="s">
        <v>79</v>
      </c>
      <c r="C84" s="61">
        <f t="shared" si="6"/>
        <v>5507590</v>
      </c>
      <c r="D84" s="65">
        <v>5396945</v>
      </c>
      <c r="E84" s="83">
        <f t="shared" si="5"/>
        <v>110645</v>
      </c>
    </row>
    <row r="85" spans="1:5" ht="15.6" x14ac:dyDescent="0.3">
      <c r="A85" s="66"/>
      <c r="B85" s="67"/>
      <c r="C85" s="61"/>
      <c r="D85" s="65"/>
      <c r="E85" s="83"/>
    </row>
    <row r="86" spans="1:5" ht="15.6" x14ac:dyDescent="0.3">
      <c r="A86" s="75"/>
      <c r="B86" s="67"/>
      <c r="C86" s="67"/>
      <c r="D86" s="65"/>
      <c r="E86" s="83"/>
    </row>
    <row r="87" spans="1:5" ht="18" x14ac:dyDescent="0.35">
      <c r="A87" s="59">
        <v>3</v>
      </c>
      <c r="B87" s="68" t="s">
        <v>80</v>
      </c>
      <c r="C87" s="69">
        <f>SUM(C73:C86)</f>
        <v>113316818</v>
      </c>
      <c r="D87" s="70">
        <f>SUM(D73:D86)</f>
        <v>85447861</v>
      </c>
      <c r="E87" s="84">
        <f>+C87-D87</f>
        <v>27868957</v>
      </c>
    </row>
    <row r="88" spans="1:5" ht="18" x14ac:dyDescent="0.35">
      <c r="A88" s="64"/>
      <c r="B88" s="67"/>
      <c r="C88" s="67"/>
      <c r="D88" s="65"/>
      <c r="E88" s="83"/>
    </row>
    <row r="89" spans="1:5" ht="18" x14ac:dyDescent="0.35">
      <c r="A89" s="76"/>
      <c r="B89" s="77" t="s">
        <v>81</v>
      </c>
      <c r="C89" s="78">
        <f>C70-C87</f>
        <v>65503809</v>
      </c>
      <c r="D89" s="78">
        <f>D70-D87</f>
        <v>53222048</v>
      </c>
      <c r="E89" s="84">
        <f>+C89-D89</f>
        <v>12281761</v>
      </c>
    </row>
    <row r="92" spans="1:5" ht="15.6" x14ac:dyDescent="0.3">
      <c r="A92" s="37"/>
      <c r="B92" s="38" t="s">
        <v>37</v>
      </c>
      <c r="C92" s="39" t="s">
        <v>38</v>
      </c>
      <c r="D92" s="40" t="s">
        <v>39</v>
      </c>
    </row>
    <row r="93" spans="1:5" ht="15.6" x14ac:dyDescent="0.3">
      <c r="A93" s="41"/>
      <c r="B93" s="42"/>
      <c r="C93" s="42"/>
      <c r="D93" s="42"/>
    </row>
    <row r="94" spans="1:5" ht="15.6" x14ac:dyDescent="0.3">
      <c r="A94" s="41"/>
      <c r="B94" s="42"/>
      <c r="C94" s="42"/>
      <c r="D94" s="42"/>
    </row>
    <row r="95" spans="1:5" ht="15.6" x14ac:dyDescent="0.3">
      <c r="A95" s="42"/>
      <c r="B95" s="42"/>
      <c r="C95" s="42"/>
      <c r="D95" s="42"/>
    </row>
    <row r="96" spans="1:5" ht="15.6" x14ac:dyDescent="0.3">
      <c r="A96" s="42"/>
      <c r="B96" s="42"/>
      <c r="C96" s="42"/>
      <c r="D96" s="42"/>
    </row>
    <row r="97" spans="1:4" ht="15.6" x14ac:dyDescent="0.3">
      <c r="A97" s="40">
        <v>1</v>
      </c>
      <c r="B97" s="38" t="s">
        <v>40</v>
      </c>
      <c r="C97" s="38" t="s">
        <v>41</v>
      </c>
      <c r="D97" s="40" t="s">
        <v>42</v>
      </c>
    </row>
    <row r="98" spans="1:4" ht="15.6" x14ac:dyDescent="0.3">
      <c r="A98" s="40"/>
      <c r="B98" s="42"/>
      <c r="C98" s="42"/>
      <c r="D98" s="42"/>
    </row>
    <row r="99" spans="1:4" ht="15.6" x14ac:dyDescent="0.3">
      <c r="A99" s="40"/>
      <c r="B99" s="42"/>
      <c r="C99" s="42"/>
      <c r="D99" s="42"/>
    </row>
    <row r="100" spans="1:4" ht="15.6" x14ac:dyDescent="0.3">
      <c r="A100" s="40"/>
      <c r="B100" s="42"/>
      <c r="C100" s="42"/>
      <c r="D100" s="42"/>
    </row>
    <row r="101" spans="1:4" ht="15.6" x14ac:dyDescent="0.3">
      <c r="A101" s="40"/>
      <c r="B101" s="42"/>
      <c r="C101" s="42"/>
      <c r="D101" s="42"/>
    </row>
    <row r="102" spans="1:4" ht="15.6" x14ac:dyDescent="0.3">
      <c r="A102" s="40">
        <v>2</v>
      </c>
      <c r="B102" s="40" t="s">
        <v>43</v>
      </c>
      <c r="C102" s="40" t="s">
        <v>44</v>
      </c>
      <c r="D102" s="40" t="s">
        <v>45</v>
      </c>
    </row>
    <row r="103" spans="1:4" ht="15.6" x14ac:dyDescent="0.3">
      <c r="A103" s="40"/>
      <c r="B103" s="42"/>
      <c r="C103" s="40"/>
      <c r="D103" s="42"/>
    </row>
    <row r="104" spans="1:4" ht="15.6" x14ac:dyDescent="0.3">
      <c r="A104" s="40"/>
      <c r="B104" s="42"/>
      <c r="C104" s="40"/>
      <c r="D104" s="42"/>
    </row>
    <row r="105" spans="1:4" ht="15.6" x14ac:dyDescent="0.3">
      <c r="A105" s="40"/>
      <c r="B105" s="42"/>
      <c r="C105" s="40"/>
      <c r="D105" s="42"/>
    </row>
    <row r="106" spans="1:4" ht="15.6" x14ac:dyDescent="0.3">
      <c r="A106" s="40">
        <v>3</v>
      </c>
      <c r="B106" s="40" t="s">
        <v>46</v>
      </c>
      <c r="C106" s="40" t="s">
        <v>47</v>
      </c>
      <c r="D106" s="40" t="s">
        <v>48</v>
      </c>
    </row>
  </sheetData>
  <pageMargins left="0.31496062992125984" right="0.31496062992125984" top="0.35433070866141736" bottom="0.35433070866141736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>
      <selection activeCell="D7" sqref="D7"/>
    </sheetView>
  </sheetViews>
  <sheetFormatPr defaultRowHeight="14.4" x14ac:dyDescent="0.3"/>
  <cols>
    <col min="4" max="4" width="15.6640625" bestFit="1" customWidth="1"/>
    <col min="7" max="7" width="19.6640625" bestFit="1" customWidth="1"/>
  </cols>
  <sheetData>
    <row r="1" spans="1:7" ht="15.6" x14ac:dyDescent="0.3">
      <c r="A1" s="86" t="s">
        <v>83</v>
      </c>
      <c r="B1" s="86"/>
      <c r="C1" s="86"/>
      <c r="D1" s="86"/>
      <c r="E1" s="86"/>
      <c r="F1" s="87"/>
      <c r="G1" s="88"/>
    </row>
    <row r="2" spans="1:7" ht="15.6" x14ac:dyDescent="0.3">
      <c r="A2" s="86" t="s">
        <v>411</v>
      </c>
      <c r="B2" s="86"/>
      <c r="C2" s="86"/>
      <c r="D2" s="86"/>
      <c r="E2" s="86"/>
      <c r="F2" s="87"/>
      <c r="G2" s="88"/>
    </row>
    <row r="3" spans="1:7" ht="15.6" x14ac:dyDescent="0.3">
      <c r="A3" s="87"/>
      <c r="B3" s="87"/>
      <c r="C3" s="87"/>
      <c r="D3" s="87"/>
      <c r="E3" s="87"/>
      <c r="F3" s="87"/>
      <c r="G3" s="88"/>
    </row>
    <row r="4" spans="1:7" ht="15.6" x14ac:dyDescent="0.3">
      <c r="A4" s="87" t="s">
        <v>84</v>
      </c>
      <c r="B4" s="87"/>
      <c r="C4" s="87"/>
      <c r="D4" s="89">
        <v>0</v>
      </c>
      <c r="E4" s="87"/>
      <c r="F4" s="87"/>
      <c r="G4" s="88"/>
    </row>
    <row r="5" spans="1:7" ht="15.6" x14ac:dyDescent="0.3">
      <c r="A5" s="87" t="s">
        <v>85</v>
      </c>
      <c r="B5" s="87"/>
      <c r="C5" s="87"/>
      <c r="D5" s="90">
        <v>65503809</v>
      </c>
      <c r="E5" s="87"/>
      <c r="F5" s="87"/>
      <c r="G5" s="88"/>
    </row>
    <row r="6" spans="1:7" ht="15.6" x14ac:dyDescent="0.3">
      <c r="A6" s="87"/>
      <c r="B6" s="87"/>
      <c r="C6" s="87"/>
      <c r="D6" s="91">
        <f>SUM(D4:D5)</f>
        <v>65503809</v>
      </c>
      <c r="E6" s="87"/>
      <c r="F6" s="87"/>
      <c r="G6" s="88"/>
    </row>
    <row r="7" spans="1:7" ht="15.6" x14ac:dyDescent="0.3">
      <c r="A7" s="86" t="s">
        <v>86</v>
      </c>
      <c r="B7" s="87"/>
      <c r="C7" s="87"/>
      <c r="D7" s="92">
        <v>65503000</v>
      </c>
      <c r="E7" s="87"/>
      <c r="F7" s="87"/>
      <c r="G7" s="88"/>
    </row>
    <row r="8" spans="1:7" ht="15.6" x14ac:dyDescent="0.3">
      <c r="A8" s="87"/>
      <c r="B8" s="87"/>
      <c r="C8" s="87"/>
      <c r="D8" s="87"/>
      <c r="E8" s="87"/>
      <c r="F8" s="87"/>
      <c r="G8" s="88"/>
    </row>
    <row r="9" spans="1:7" ht="15.6" x14ac:dyDescent="0.3">
      <c r="A9" s="93" t="s">
        <v>87</v>
      </c>
      <c r="B9" s="87" t="s">
        <v>31</v>
      </c>
      <c r="C9" s="87"/>
      <c r="D9" s="87"/>
      <c r="E9" s="94">
        <v>0.25</v>
      </c>
      <c r="F9" s="88"/>
      <c r="G9" s="95">
        <f>D7*E9</f>
        <v>16375750</v>
      </c>
    </row>
    <row r="10" spans="1:7" ht="15.6" x14ac:dyDescent="0.3">
      <c r="A10" s="93"/>
      <c r="B10" s="87"/>
      <c r="C10" s="87"/>
      <c r="D10" s="87"/>
      <c r="E10" s="87"/>
      <c r="F10" s="88"/>
      <c r="G10" s="95"/>
    </row>
    <row r="11" spans="1:7" ht="15.6" x14ac:dyDescent="0.3">
      <c r="A11" s="93" t="s">
        <v>88</v>
      </c>
      <c r="B11" s="87" t="s">
        <v>89</v>
      </c>
      <c r="C11" s="87"/>
      <c r="D11" s="87"/>
      <c r="E11" s="94">
        <v>0.05</v>
      </c>
      <c r="F11" s="88"/>
      <c r="G11" s="95">
        <f>D7*E11</f>
        <v>3275150</v>
      </c>
    </row>
    <row r="12" spans="1:7" ht="15.6" x14ac:dyDescent="0.3">
      <c r="A12" s="93"/>
      <c r="B12" s="87"/>
      <c r="C12" s="87"/>
      <c r="D12" s="87"/>
      <c r="E12" s="87"/>
      <c r="F12" s="88"/>
      <c r="G12" s="95"/>
    </row>
    <row r="13" spans="1:7" ht="15.6" x14ac:dyDescent="0.3">
      <c r="A13" s="93" t="s">
        <v>90</v>
      </c>
      <c r="B13" s="87" t="s">
        <v>91</v>
      </c>
      <c r="C13" s="87"/>
      <c r="D13" s="87"/>
      <c r="E13" s="94">
        <v>0.05</v>
      </c>
      <c r="F13" s="88"/>
      <c r="G13" s="95">
        <f>D7*E13</f>
        <v>3275150</v>
      </c>
    </row>
    <row r="14" spans="1:7" ht="15.6" x14ac:dyDescent="0.3">
      <c r="A14" s="93"/>
      <c r="B14" s="87"/>
      <c r="C14" s="87"/>
      <c r="D14" s="87"/>
      <c r="E14" s="87"/>
      <c r="F14" s="88"/>
      <c r="G14" s="95"/>
    </row>
    <row r="15" spans="1:7" ht="15.6" x14ac:dyDescent="0.3">
      <c r="A15" s="93" t="s">
        <v>92</v>
      </c>
      <c r="B15" s="87" t="s">
        <v>93</v>
      </c>
      <c r="C15" s="87"/>
      <c r="D15" s="87"/>
      <c r="E15" s="94">
        <v>0.05</v>
      </c>
      <c r="F15" s="88"/>
      <c r="G15" s="95">
        <f>D7*E15</f>
        <v>3275150</v>
      </c>
    </row>
    <row r="16" spans="1:7" ht="15.6" x14ac:dyDescent="0.3">
      <c r="A16" s="93"/>
      <c r="B16" s="87"/>
      <c r="C16" s="87"/>
      <c r="D16" s="87"/>
      <c r="E16" s="87"/>
      <c r="F16" s="88"/>
      <c r="G16" s="95"/>
    </row>
    <row r="17" spans="1:7" ht="15.6" x14ac:dyDescent="0.3">
      <c r="A17" s="93" t="s">
        <v>94</v>
      </c>
      <c r="B17" s="87" t="s">
        <v>95</v>
      </c>
      <c r="C17" s="87"/>
      <c r="D17" s="87"/>
      <c r="E17" s="94">
        <v>0.1</v>
      </c>
      <c r="F17" s="88"/>
      <c r="G17" s="95">
        <f>D7*E17</f>
        <v>6550300</v>
      </c>
    </row>
    <row r="18" spans="1:7" ht="15.6" x14ac:dyDescent="0.3">
      <c r="A18" s="93"/>
      <c r="B18" s="87"/>
      <c r="C18" s="87"/>
      <c r="D18" s="87"/>
      <c r="E18" s="87"/>
      <c r="F18" s="88"/>
      <c r="G18" s="95"/>
    </row>
    <row r="19" spans="1:7" ht="15.6" x14ac:dyDescent="0.3">
      <c r="A19" s="93" t="s">
        <v>96</v>
      </c>
      <c r="B19" s="87" t="s">
        <v>97</v>
      </c>
      <c r="C19" s="87"/>
      <c r="D19" s="87"/>
      <c r="E19" s="94">
        <v>0.25</v>
      </c>
      <c r="F19" s="88"/>
      <c r="G19" s="95">
        <f>D7*E19</f>
        <v>16375750</v>
      </c>
    </row>
    <row r="20" spans="1:7" ht="15.6" x14ac:dyDescent="0.3">
      <c r="A20" s="93"/>
      <c r="B20" s="87"/>
      <c r="C20" s="87"/>
      <c r="D20" s="87"/>
      <c r="E20" s="87"/>
      <c r="F20" s="88"/>
      <c r="G20" s="95"/>
    </row>
    <row r="21" spans="1:7" ht="15.6" x14ac:dyDescent="0.3">
      <c r="A21" s="93" t="s">
        <v>98</v>
      </c>
      <c r="B21" s="87" t="s">
        <v>99</v>
      </c>
      <c r="C21" s="87"/>
      <c r="D21" s="87"/>
      <c r="E21" s="94">
        <v>0.25</v>
      </c>
      <c r="F21" s="88"/>
      <c r="G21" s="95">
        <f>+D7*E21</f>
        <v>16375750</v>
      </c>
    </row>
    <row r="22" spans="1:7" ht="15.6" x14ac:dyDescent="0.3">
      <c r="A22" s="87"/>
      <c r="B22" s="87"/>
      <c r="C22" s="87"/>
      <c r="D22" s="87"/>
      <c r="E22" s="87"/>
      <c r="F22" s="88"/>
      <c r="G22" s="95"/>
    </row>
    <row r="23" spans="1:7" ht="15.6" x14ac:dyDescent="0.3">
      <c r="A23" s="87"/>
      <c r="B23" s="87"/>
      <c r="C23" s="87"/>
      <c r="D23" s="87"/>
      <c r="E23" s="96">
        <f>SUM(E9:E22)</f>
        <v>1</v>
      </c>
      <c r="F23" s="88"/>
      <c r="G23" s="97">
        <f>SUM(G9:G21)</f>
        <v>65503000</v>
      </c>
    </row>
    <row r="24" spans="1:7" ht="15.6" x14ac:dyDescent="0.3">
      <c r="A24" s="87"/>
      <c r="B24" s="87"/>
      <c r="C24" s="87"/>
      <c r="D24" s="87"/>
      <c r="E24" s="87"/>
      <c r="F24" s="87"/>
      <c r="G24" s="88"/>
    </row>
    <row r="25" spans="1:7" ht="15.6" x14ac:dyDescent="0.3">
      <c r="A25" s="87"/>
      <c r="B25" s="87"/>
      <c r="C25" s="87"/>
      <c r="D25" s="87"/>
      <c r="E25" s="87"/>
      <c r="F25" s="87"/>
      <c r="G25" s="88"/>
    </row>
    <row r="26" spans="1:7" ht="15.6" x14ac:dyDescent="0.3">
      <c r="A26" s="88"/>
      <c r="B26" s="88"/>
      <c r="C26" s="88"/>
      <c r="D26" s="88"/>
      <c r="E26" s="88"/>
      <c r="F26" s="88"/>
      <c r="G26" s="88"/>
    </row>
    <row r="27" spans="1:7" ht="15.6" x14ac:dyDescent="0.3">
      <c r="A27" s="88"/>
      <c r="B27" s="86" t="s">
        <v>100</v>
      </c>
      <c r="C27" s="86"/>
      <c r="D27" s="86"/>
      <c r="E27" s="88"/>
      <c r="F27" s="88"/>
      <c r="G27" s="88"/>
    </row>
    <row r="28" spans="1:7" ht="15.6" x14ac:dyDescent="0.3">
      <c r="A28" s="88"/>
      <c r="B28" s="86" t="s">
        <v>101</v>
      </c>
      <c r="C28" s="86"/>
      <c r="D28" s="86"/>
      <c r="E28" s="88"/>
      <c r="F28" s="88"/>
      <c r="G28" s="88"/>
    </row>
    <row r="29" spans="1:7" ht="15.6" x14ac:dyDescent="0.3">
      <c r="A29" s="88"/>
      <c r="B29" s="88"/>
      <c r="C29" s="88"/>
      <c r="D29" s="88"/>
      <c r="E29" s="88"/>
      <c r="F29" s="88"/>
      <c r="G29" s="88"/>
    </row>
    <row r="30" spans="1:7" ht="15.6" x14ac:dyDescent="0.3">
      <c r="A30" s="88"/>
      <c r="B30" s="86" t="s">
        <v>102</v>
      </c>
      <c r="C30" s="86"/>
      <c r="D30" s="86"/>
      <c r="E30" s="86" t="s">
        <v>103</v>
      </c>
      <c r="F30" s="86"/>
      <c r="G30" s="86" t="s">
        <v>38</v>
      </c>
    </row>
    <row r="31" spans="1:7" ht="15.6" x14ac:dyDescent="0.3">
      <c r="A31" s="88"/>
      <c r="B31" s="86"/>
      <c r="C31" s="86"/>
      <c r="D31" s="86"/>
      <c r="E31" s="86"/>
      <c r="F31" s="86"/>
      <c r="G31" s="86"/>
    </row>
    <row r="32" spans="1:7" ht="15.6" x14ac:dyDescent="0.3">
      <c r="A32" s="88"/>
      <c r="B32" s="86"/>
      <c r="C32" s="86"/>
      <c r="D32" s="86"/>
      <c r="E32" s="86"/>
      <c r="F32" s="86"/>
      <c r="G32" s="86"/>
    </row>
    <row r="33" spans="1:7" ht="15.6" x14ac:dyDescent="0.3">
      <c r="A33" s="88"/>
      <c r="B33" s="86"/>
      <c r="C33" s="86"/>
      <c r="D33" s="86"/>
      <c r="E33" s="86"/>
      <c r="F33" s="86"/>
      <c r="G33" s="86"/>
    </row>
    <row r="34" spans="1:7" ht="15.6" x14ac:dyDescent="0.3">
      <c r="A34" s="88"/>
      <c r="B34" s="86"/>
      <c r="C34" s="86"/>
      <c r="D34" s="86"/>
      <c r="E34" s="86"/>
      <c r="F34" s="86"/>
      <c r="G34" s="86"/>
    </row>
    <row r="35" spans="1:7" ht="15.6" x14ac:dyDescent="0.3">
      <c r="A35" s="88"/>
      <c r="B35" s="86" t="s">
        <v>104</v>
      </c>
      <c r="C35" s="86"/>
      <c r="D35" s="86"/>
      <c r="E35" s="86" t="s">
        <v>105</v>
      </c>
      <c r="F35" s="86"/>
      <c r="G35" s="86" t="s">
        <v>106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99"/>
  <sheetViews>
    <sheetView workbookViewId="0">
      <selection activeCell="F5" sqref="F5:F6"/>
    </sheetView>
  </sheetViews>
  <sheetFormatPr defaultColWidth="9.33203125" defaultRowHeight="14.4" x14ac:dyDescent="0.3"/>
  <cols>
    <col min="1" max="1" width="6.5546875" style="4" customWidth="1"/>
    <col min="2" max="2" width="28.6640625" style="4" bestFit="1" customWidth="1"/>
    <col min="3" max="3" width="11.5546875" style="5" bestFit="1" customWidth="1"/>
    <col min="4" max="4" width="15.6640625" style="5" bestFit="1" customWidth="1"/>
    <col min="5" max="5" width="12.44140625" style="5" customWidth="1"/>
    <col min="6" max="6" width="12.5546875" style="5" bestFit="1" customWidth="1"/>
    <col min="7" max="8" width="11.5546875" style="5" bestFit="1" customWidth="1"/>
    <col min="9" max="9" width="9.33203125" style="4"/>
    <col min="10" max="10" width="10.5546875" style="4" bestFit="1" customWidth="1"/>
    <col min="11" max="11" width="12.5546875" style="5" customWidth="1"/>
    <col min="12" max="12" width="11.5546875" style="5" customWidth="1"/>
    <col min="13" max="16384" width="9.33203125" style="4"/>
  </cols>
  <sheetData>
    <row r="1" spans="1:12" x14ac:dyDescent="0.3">
      <c r="A1" s="98" t="s">
        <v>107</v>
      </c>
      <c r="B1" s="98"/>
    </row>
    <row r="2" spans="1:12" x14ac:dyDescent="0.3">
      <c r="A2" s="98" t="s">
        <v>108</v>
      </c>
      <c r="B2" s="99"/>
    </row>
    <row r="3" spans="1:12" x14ac:dyDescent="0.3">
      <c r="A3" s="98" t="s">
        <v>412</v>
      </c>
      <c r="B3" s="99"/>
    </row>
    <row r="4" spans="1:12" x14ac:dyDescent="0.3">
      <c r="A4" s="98"/>
      <c r="B4" s="99"/>
    </row>
    <row r="5" spans="1:12" ht="15" customHeight="1" x14ac:dyDescent="0.3">
      <c r="A5" s="156" t="s">
        <v>110</v>
      </c>
      <c r="B5" s="158" t="s">
        <v>111</v>
      </c>
      <c r="C5" s="155" t="s">
        <v>112</v>
      </c>
      <c r="D5" s="155" t="s">
        <v>113</v>
      </c>
      <c r="E5" s="155" t="s">
        <v>114</v>
      </c>
      <c r="F5" s="155" t="s">
        <v>115</v>
      </c>
      <c r="G5" s="154" t="s">
        <v>116</v>
      </c>
      <c r="H5" s="155" t="s">
        <v>117</v>
      </c>
      <c r="K5" s="5">
        <f>F299</f>
        <v>536190997</v>
      </c>
      <c r="L5" s="5">
        <v>16375750</v>
      </c>
    </row>
    <row r="6" spans="1:12" x14ac:dyDescent="0.3">
      <c r="A6" s="157"/>
      <c r="B6" s="158"/>
      <c r="C6" s="155"/>
      <c r="D6" s="155"/>
      <c r="E6" s="155"/>
      <c r="F6" s="155"/>
      <c r="G6" s="154"/>
      <c r="H6" s="155"/>
      <c r="L6" s="101">
        <f>+L5/K5</f>
        <v>3.0540889518143103E-2</v>
      </c>
    </row>
    <row r="7" spans="1:12" x14ac:dyDescent="0.3">
      <c r="A7" s="102"/>
      <c r="B7" s="100"/>
      <c r="C7" s="103"/>
      <c r="D7" s="104"/>
      <c r="E7" s="103"/>
      <c r="F7" s="103"/>
      <c r="G7" s="103"/>
      <c r="H7" s="103"/>
    </row>
    <row r="8" spans="1:12" x14ac:dyDescent="0.3">
      <c r="A8" s="105">
        <v>1</v>
      </c>
      <c r="B8" s="106" t="s">
        <v>118</v>
      </c>
      <c r="C8" s="107">
        <v>100000</v>
      </c>
      <c r="D8" s="103">
        <v>910000</v>
      </c>
      <c r="E8" s="103">
        <v>3340000</v>
      </c>
      <c r="F8" s="103">
        <f>+C8+D8+E8</f>
        <v>4350000</v>
      </c>
      <c r="G8" s="103">
        <f>+F8*$L$6</f>
        <v>132852.86940392249</v>
      </c>
      <c r="H8" s="103">
        <f>MROUND(G8,500)</f>
        <v>133000</v>
      </c>
    </row>
    <row r="9" spans="1:12" x14ac:dyDescent="0.3">
      <c r="A9" s="105">
        <v>2</v>
      </c>
      <c r="B9" s="106" t="s">
        <v>119</v>
      </c>
      <c r="C9" s="150">
        <v>100000</v>
      </c>
      <c r="D9" s="103">
        <v>120000</v>
      </c>
      <c r="E9" s="103">
        <v>106100</v>
      </c>
      <c r="F9" s="103">
        <f t="shared" ref="F9:F72" si="0">+C9+D9+E9</f>
        <v>326100</v>
      </c>
      <c r="G9" s="103">
        <f>+F9*$L$6</f>
        <v>9959.3840718664651</v>
      </c>
      <c r="H9" s="103">
        <f t="shared" ref="H9:H72" si="1">MROUND(G9,500)</f>
        <v>10000</v>
      </c>
      <c r="J9" s="108"/>
    </row>
    <row r="10" spans="1:12" x14ac:dyDescent="0.3">
      <c r="A10" s="105">
        <v>3</v>
      </c>
      <c r="B10" s="109" t="s">
        <v>120</v>
      </c>
      <c r="C10" s="110"/>
      <c r="D10" s="103"/>
      <c r="E10" s="103"/>
      <c r="F10" s="103">
        <f t="shared" si="0"/>
        <v>0</v>
      </c>
      <c r="G10" s="103">
        <f t="shared" ref="G10:G73" si="2">+F10*$L$6</f>
        <v>0</v>
      </c>
      <c r="H10" s="103">
        <f t="shared" si="1"/>
        <v>0</v>
      </c>
    </row>
    <row r="11" spans="1:12" x14ac:dyDescent="0.3">
      <c r="A11" s="105">
        <v>4</v>
      </c>
      <c r="B11" s="111" t="s">
        <v>121</v>
      </c>
      <c r="C11" s="112"/>
      <c r="D11" s="103"/>
      <c r="E11" s="103"/>
      <c r="F11" s="103">
        <f t="shared" si="0"/>
        <v>0</v>
      </c>
      <c r="G11" s="103">
        <f t="shared" si="2"/>
        <v>0</v>
      </c>
      <c r="H11" s="103">
        <f t="shared" si="1"/>
        <v>0</v>
      </c>
    </row>
    <row r="12" spans="1:12" x14ac:dyDescent="0.3">
      <c r="A12" s="105">
        <v>5</v>
      </c>
      <c r="B12" s="106" t="s">
        <v>122</v>
      </c>
      <c r="C12" s="107">
        <v>100000</v>
      </c>
      <c r="D12" s="103">
        <v>905000</v>
      </c>
      <c r="E12" s="103">
        <v>785000</v>
      </c>
      <c r="F12" s="103">
        <f t="shared" si="0"/>
        <v>1790000</v>
      </c>
      <c r="G12" s="103">
        <f t="shared" si="2"/>
        <v>54668.192237476156</v>
      </c>
      <c r="H12" s="103">
        <f t="shared" si="1"/>
        <v>54500</v>
      </c>
    </row>
    <row r="13" spans="1:12" x14ac:dyDescent="0.3">
      <c r="A13" s="105">
        <v>6</v>
      </c>
      <c r="B13" s="106" t="s">
        <v>123</v>
      </c>
      <c r="C13" s="107">
        <v>100000</v>
      </c>
      <c r="D13" s="103">
        <v>915000</v>
      </c>
      <c r="E13" s="103">
        <v>559000</v>
      </c>
      <c r="F13" s="103">
        <f t="shared" si="0"/>
        <v>1574000</v>
      </c>
      <c r="G13" s="103">
        <f t="shared" si="2"/>
        <v>48071.360101557242</v>
      </c>
      <c r="H13" s="103">
        <f t="shared" si="1"/>
        <v>48000</v>
      </c>
    </row>
    <row r="14" spans="1:12" x14ac:dyDescent="0.3">
      <c r="A14" s="105">
        <v>7</v>
      </c>
      <c r="B14" s="113" t="s">
        <v>124</v>
      </c>
      <c r="C14" s="114">
        <v>100000</v>
      </c>
      <c r="D14" s="103">
        <v>805000</v>
      </c>
      <c r="E14" s="103">
        <v>1295000</v>
      </c>
      <c r="F14" s="103">
        <f t="shared" si="0"/>
        <v>2200000</v>
      </c>
      <c r="G14" s="103">
        <f t="shared" si="2"/>
        <v>67189.956939914831</v>
      </c>
      <c r="H14" s="103">
        <f t="shared" si="1"/>
        <v>67000</v>
      </c>
    </row>
    <row r="15" spans="1:12" x14ac:dyDescent="0.3">
      <c r="A15" s="105">
        <v>8</v>
      </c>
      <c r="B15" s="106" t="s">
        <v>125</v>
      </c>
      <c r="C15" s="107">
        <v>100000</v>
      </c>
      <c r="D15" s="103">
        <v>930000</v>
      </c>
      <c r="E15" s="103">
        <v>749000</v>
      </c>
      <c r="F15" s="103">
        <f t="shared" si="0"/>
        <v>1779000</v>
      </c>
      <c r="G15" s="103">
        <f t="shared" si="2"/>
        <v>54332.242452776583</v>
      </c>
      <c r="H15" s="103">
        <f t="shared" si="1"/>
        <v>54500</v>
      </c>
    </row>
    <row r="16" spans="1:12" x14ac:dyDescent="0.3">
      <c r="A16" s="105">
        <v>9</v>
      </c>
      <c r="B16" s="113" t="s">
        <v>126</v>
      </c>
      <c r="C16" s="114">
        <v>100000</v>
      </c>
      <c r="D16" s="103">
        <v>905000</v>
      </c>
      <c r="E16" s="103">
        <v>550000</v>
      </c>
      <c r="F16" s="103">
        <f t="shared" si="0"/>
        <v>1555000</v>
      </c>
      <c r="G16" s="103">
        <f t="shared" si="2"/>
        <v>47491.083200712528</v>
      </c>
      <c r="H16" s="103">
        <f t="shared" si="1"/>
        <v>47500</v>
      </c>
    </row>
    <row r="17" spans="1:8" x14ac:dyDescent="0.3">
      <c r="A17" s="105">
        <v>10</v>
      </c>
      <c r="B17" s="106" t="s">
        <v>127</v>
      </c>
      <c r="C17" s="107">
        <v>100000</v>
      </c>
      <c r="D17" s="103">
        <v>870000</v>
      </c>
      <c r="E17" s="103">
        <v>315000</v>
      </c>
      <c r="F17" s="103">
        <f t="shared" si="0"/>
        <v>1285000</v>
      </c>
      <c r="G17" s="103">
        <f t="shared" si="2"/>
        <v>39245.043030813889</v>
      </c>
      <c r="H17" s="103">
        <f t="shared" si="1"/>
        <v>39000</v>
      </c>
    </row>
    <row r="18" spans="1:8" x14ac:dyDescent="0.3">
      <c r="A18" s="105">
        <v>11</v>
      </c>
      <c r="B18" s="113" t="s">
        <v>128</v>
      </c>
      <c r="C18" s="151">
        <v>100000</v>
      </c>
      <c r="D18" s="103">
        <v>130000</v>
      </c>
      <c r="E18" s="103">
        <v>57200</v>
      </c>
      <c r="F18" s="103">
        <f t="shared" si="0"/>
        <v>287200</v>
      </c>
      <c r="G18" s="103">
        <f t="shared" si="2"/>
        <v>8771.3434696106997</v>
      </c>
      <c r="H18" s="103">
        <f t="shared" si="1"/>
        <v>9000</v>
      </c>
    </row>
    <row r="19" spans="1:8" x14ac:dyDescent="0.3">
      <c r="A19" s="105">
        <v>12</v>
      </c>
      <c r="B19" s="113" t="s">
        <v>129</v>
      </c>
      <c r="C19" s="114"/>
      <c r="D19" s="103"/>
      <c r="E19" s="103"/>
      <c r="F19" s="103">
        <f t="shared" si="0"/>
        <v>0</v>
      </c>
      <c r="G19" s="103">
        <f t="shared" si="2"/>
        <v>0</v>
      </c>
      <c r="H19" s="103">
        <f t="shared" si="1"/>
        <v>0</v>
      </c>
    </row>
    <row r="20" spans="1:8" x14ac:dyDescent="0.3">
      <c r="A20" s="105">
        <v>13</v>
      </c>
      <c r="B20" s="106" t="s">
        <v>130</v>
      </c>
      <c r="C20" s="107">
        <v>100000</v>
      </c>
      <c r="D20" s="103">
        <v>855000</v>
      </c>
      <c r="E20" s="103">
        <v>785000</v>
      </c>
      <c r="F20" s="103">
        <f t="shared" si="0"/>
        <v>1740000</v>
      </c>
      <c r="G20" s="103">
        <f t="shared" si="2"/>
        <v>53141.147761569002</v>
      </c>
      <c r="H20" s="103">
        <f t="shared" si="1"/>
        <v>53000</v>
      </c>
    </row>
    <row r="21" spans="1:8" x14ac:dyDescent="0.3">
      <c r="A21" s="105">
        <v>14</v>
      </c>
      <c r="B21" s="106" t="s">
        <v>131</v>
      </c>
      <c r="C21" s="107"/>
      <c r="D21" s="103"/>
      <c r="E21" s="103"/>
      <c r="F21" s="103">
        <f t="shared" si="0"/>
        <v>0</v>
      </c>
      <c r="G21" s="103">
        <f t="shared" si="2"/>
        <v>0</v>
      </c>
      <c r="H21" s="103">
        <f t="shared" si="1"/>
        <v>0</v>
      </c>
    </row>
    <row r="22" spans="1:8" x14ac:dyDescent="0.3">
      <c r="A22" s="105">
        <v>15</v>
      </c>
      <c r="B22" s="106" t="s">
        <v>132</v>
      </c>
      <c r="C22" s="150">
        <v>100000</v>
      </c>
      <c r="D22" s="103">
        <v>15000</v>
      </c>
      <c r="E22" s="103">
        <v>8300</v>
      </c>
      <c r="F22" s="103">
        <f t="shared" si="0"/>
        <v>123300</v>
      </c>
      <c r="G22" s="103">
        <f t="shared" si="2"/>
        <v>3765.6916775870445</v>
      </c>
      <c r="H22" s="103">
        <f t="shared" si="1"/>
        <v>4000</v>
      </c>
    </row>
    <row r="23" spans="1:8" x14ac:dyDescent="0.3">
      <c r="A23" s="105">
        <v>16</v>
      </c>
      <c r="B23" s="106" t="s">
        <v>133</v>
      </c>
      <c r="C23" s="107">
        <v>100000</v>
      </c>
      <c r="D23" s="103">
        <v>710000</v>
      </c>
      <c r="E23" s="103">
        <v>437400</v>
      </c>
      <c r="F23" s="103">
        <f t="shared" si="0"/>
        <v>1247400</v>
      </c>
      <c r="G23" s="103">
        <f t="shared" si="2"/>
        <v>38096.705584931704</v>
      </c>
      <c r="H23" s="103">
        <f t="shared" si="1"/>
        <v>38000</v>
      </c>
    </row>
    <row r="24" spans="1:8" x14ac:dyDescent="0.3">
      <c r="A24" s="105">
        <v>17</v>
      </c>
      <c r="B24" s="106" t="s">
        <v>134</v>
      </c>
      <c r="C24" s="107">
        <v>100000</v>
      </c>
      <c r="D24" s="103">
        <v>845000</v>
      </c>
      <c r="E24" s="103">
        <v>1675000</v>
      </c>
      <c r="F24" s="103">
        <f t="shared" si="0"/>
        <v>2620000</v>
      </c>
      <c r="G24" s="103">
        <f t="shared" si="2"/>
        <v>80017.130537534933</v>
      </c>
      <c r="H24" s="103">
        <f t="shared" si="1"/>
        <v>80000</v>
      </c>
    </row>
    <row r="25" spans="1:8" x14ac:dyDescent="0.3">
      <c r="A25" s="105">
        <v>18</v>
      </c>
      <c r="B25" s="106" t="s">
        <v>135</v>
      </c>
      <c r="C25" s="107">
        <v>100000</v>
      </c>
      <c r="D25" s="103">
        <v>800000</v>
      </c>
      <c r="E25" s="103">
        <v>2020000</v>
      </c>
      <c r="F25" s="103">
        <f t="shared" si="0"/>
        <v>2920000</v>
      </c>
      <c r="G25" s="103">
        <f t="shared" si="2"/>
        <v>89179.397392977859</v>
      </c>
      <c r="H25" s="103">
        <f t="shared" si="1"/>
        <v>89000</v>
      </c>
    </row>
    <row r="26" spans="1:8" x14ac:dyDescent="0.3">
      <c r="A26" s="105">
        <v>19</v>
      </c>
      <c r="B26" s="106" t="s">
        <v>136</v>
      </c>
      <c r="C26" s="107">
        <v>100000</v>
      </c>
      <c r="D26" s="103">
        <v>890000</v>
      </c>
      <c r="E26" s="103">
        <v>935000</v>
      </c>
      <c r="F26" s="103">
        <f t="shared" si="0"/>
        <v>1925000</v>
      </c>
      <c r="G26" s="103">
        <f t="shared" si="2"/>
        <v>58791.212322425476</v>
      </c>
      <c r="H26" s="103">
        <f t="shared" si="1"/>
        <v>59000</v>
      </c>
    </row>
    <row r="27" spans="1:8" x14ac:dyDescent="0.3">
      <c r="A27" s="105">
        <v>20</v>
      </c>
      <c r="B27" s="106" t="s">
        <v>137</v>
      </c>
      <c r="C27" s="107">
        <v>100000</v>
      </c>
      <c r="D27" s="103">
        <v>420000</v>
      </c>
      <c r="E27" s="103">
        <v>191400</v>
      </c>
      <c r="F27" s="103">
        <f t="shared" si="0"/>
        <v>711400</v>
      </c>
      <c r="G27" s="103">
        <f t="shared" si="2"/>
        <v>21726.788803207004</v>
      </c>
      <c r="H27" s="103">
        <f t="shared" si="1"/>
        <v>21500</v>
      </c>
    </row>
    <row r="28" spans="1:8" x14ac:dyDescent="0.3">
      <c r="A28" s="105">
        <v>21</v>
      </c>
      <c r="B28" s="113" t="s">
        <v>138</v>
      </c>
      <c r="C28" s="107">
        <v>100000</v>
      </c>
      <c r="D28" s="103">
        <v>360000</v>
      </c>
      <c r="E28" s="103">
        <v>136500</v>
      </c>
      <c r="F28" s="103">
        <f t="shared" si="0"/>
        <v>596500</v>
      </c>
      <c r="G28" s="103">
        <f t="shared" si="2"/>
        <v>18217.640597572361</v>
      </c>
      <c r="H28" s="103">
        <f t="shared" si="1"/>
        <v>18000</v>
      </c>
    </row>
    <row r="29" spans="1:8" x14ac:dyDescent="0.3">
      <c r="A29" s="105">
        <v>22</v>
      </c>
      <c r="B29" s="106" t="s">
        <v>139</v>
      </c>
      <c r="C29" s="107">
        <v>100000</v>
      </c>
      <c r="D29" s="103">
        <v>895000</v>
      </c>
      <c r="E29" s="103">
        <v>420000</v>
      </c>
      <c r="F29" s="103">
        <f t="shared" si="0"/>
        <v>1415000</v>
      </c>
      <c r="G29" s="103">
        <f t="shared" si="2"/>
        <v>43215.358668172492</v>
      </c>
      <c r="H29" s="103">
        <f t="shared" si="1"/>
        <v>43000</v>
      </c>
    </row>
    <row r="30" spans="1:8" x14ac:dyDescent="0.3">
      <c r="A30" s="105">
        <v>23</v>
      </c>
      <c r="B30" s="106" t="s">
        <v>140</v>
      </c>
      <c r="C30" s="107">
        <v>100000</v>
      </c>
      <c r="D30" s="103">
        <v>900000</v>
      </c>
      <c r="E30" s="103">
        <v>410000</v>
      </c>
      <c r="F30" s="103">
        <f t="shared" si="0"/>
        <v>1410000</v>
      </c>
      <c r="G30" s="103">
        <f t="shared" si="2"/>
        <v>43062.654220581775</v>
      </c>
      <c r="H30" s="103">
        <f t="shared" si="1"/>
        <v>43000</v>
      </c>
    </row>
    <row r="31" spans="1:8" x14ac:dyDescent="0.3">
      <c r="A31" s="105">
        <v>24</v>
      </c>
      <c r="B31" s="106" t="s">
        <v>141</v>
      </c>
      <c r="C31" s="107">
        <v>100000</v>
      </c>
      <c r="D31" s="103">
        <v>775000</v>
      </c>
      <c r="E31" s="103">
        <v>330000</v>
      </c>
      <c r="F31" s="103">
        <f t="shared" si="0"/>
        <v>1205000</v>
      </c>
      <c r="G31" s="103">
        <f t="shared" si="2"/>
        <v>36801.771869362441</v>
      </c>
      <c r="H31" s="103">
        <f t="shared" si="1"/>
        <v>37000</v>
      </c>
    </row>
    <row r="32" spans="1:8" x14ac:dyDescent="0.3">
      <c r="A32" s="105">
        <v>25</v>
      </c>
      <c r="B32" s="106" t="s">
        <v>142</v>
      </c>
      <c r="C32" s="107">
        <v>100000</v>
      </c>
      <c r="D32" s="103">
        <v>725000</v>
      </c>
      <c r="E32" s="103">
        <v>225000</v>
      </c>
      <c r="F32" s="103">
        <f t="shared" si="0"/>
        <v>1050000</v>
      </c>
      <c r="G32" s="103">
        <f t="shared" si="2"/>
        <v>32067.933994050258</v>
      </c>
      <c r="H32" s="103">
        <f t="shared" si="1"/>
        <v>32000</v>
      </c>
    </row>
    <row r="33" spans="1:12" x14ac:dyDescent="0.3">
      <c r="A33" s="105">
        <v>26</v>
      </c>
      <c r="B33" s="106" t="s">
        <v>143</v>
      </c>
      <c r="C33" s="107">
        <v>100000</v>
      </c>
      <c r="D33" s="103">
        <v>903000</v>
      </c>
      <c r="E33" s="103">
        <v>6980000</v>
      </c>
      <c r="F33" s="103">
        <f t="shared" si="0"/>
        <v>7983000</v>
      </c>
      <c r="G33" s="103">
        <f t="shared" si="2"/>
        <v>243807.92102333638</v>
      </c>
      <c r="H33" s="103">
        <f t="shared" si="1"/>
        <v>244000</v>
      </c>
    </row>
    <row r="34" spans="1:12" x14ac:dyDescent="0.3">
      <c r="A34" s="105">
        <v>27</v>
      </c>
      <c r="B34" s="106" t="s">
        <v>144</v>
      </c>
      <c r="C34" s="107">
        <v>100000</v>
      </c>
      <c r="D34" s="103">
        <v>905000</v>
      </c>
      <c r="E34" s="103">
        <v>542000</v>
      </c>
      <c r="F34" s="103">
        <f t="shared" si="0"/>
        <v>1547000</v>
      </c>
      <c r="G34" s="103">
        <f t="shared" si="2"/>
        <v>47246.75608456738</v>
      </c>
      <c r="H34" s="103">
        <f t="shared" si="1"/>
        <v>47000</v>
      </c>
    </row>
    <row r="35" spans="1:12" x14ac:dyDescent="0.3">
      <c r="A35" s="105">
        <v>28</v>
      </c>
      <c r="B35" s="106" t="s">
        <v>145</v>
      </c>
      <c r="C35" s="107"/>
      <c r="D35" s="103"/>
      <c r="E35" s="103"/>
      <c r="F35" s="103">
        <f t="shared" si="0"/>
        <v>0</v>
      </c>
      <c r="G35" s="103">
        <f t="shared" si="2"/>
        <v>0</v>
      </c>
      <c r="H35" s="103">
        <f t="shared" si="1"/>
        <v>0</v>
      </c>
    </row>
    <row r="36" spans="1:12" x14ac:dyDescent="0.3">
      <c r="A36" s="105">
        <v>29</v>
      </c>
      <c r="B36" s="106" t="s">
        <v>146</v>
      </c>
      <c r="C36" s="107">
        <v>100000</v>
      </c>
      <c r="D36" s="103">
        <v>880000</v>
      </c>
      <c r="E36" s="103">
        <v>1085000</v>
      </c>
      <c r="F36" s="103">
        <f t="shared" si="0"/>
        <v>2065000</v>
      </c>
      <c r="G36" s="103">
        <f t="shared" si="2"/>
        <v>63066.936854965505</v>
      </c>
      <c r="H36" s="103">
        <f t="shared" si="1"/>
        <v>63000</v>
      </c>
    </row>
    <row r="37" spans="1:12" x14ac:dyDescent="0.3">
      <c r="A37" s="105">
        <v>30</v>
      </c>
      <c r="B37" s="106" t="s">
        <v>147</v>
      </c>
      <c r="C37" s="107"/>
      <c r="D37" s="103"/>
      <c r="E37" s="103"/>
      <c r="F37" s="103">
        <f t="shared" si="0"/>
        <v>0</v>
      </c>
      <c r="G37" s="103">
        <f t="shared" si="2"/>
        <v>0</v>
      </c>
      <c r="H37" s="103">
        <f t="shared" si="1"/>
        <v>0</v>
      </c>
    </row>
    <row r="38" spans="1:12" x14ac:dyDescent="0.3">
      <c r="A38" s="105">
        <v>31</v>
      </c>
      <c r="B38" s="106" t="s">
        <v>148</v>
      </c>
      <c r="C38" s="107"/>
      <c r="D38" s="103"/>
      <c r="E38" s="103"/>
      <c r="F38" s="103">
        <f t="shared" si="0"/>
        <v>0</v>
      </c>
      <c r="G38" s="103">
        <f t="shared" si="2"/>
        <v>0</v>
      </c>
      <c r="H38" s="103">
        <f t="shared" si="1"/>
        <v>0</v>
      </c>
    </row>
    <row r="39" spans="1:12" x14ac:dyDescent="0.3">
      <c r="A39" s="105">
        <v>32</v>
      </c>
      <c r="B39" s="106" t="s">
        <v>149</v>
      </c>
      <c r="C39" s="107">
        <v>100000</v>
      </c>
      <c r="D39" s="103">
        <v>840000</v>
      </c>
      <c r="E39" s="103">
        <v>930000</v>
      </c>
      <c r="F39" s="103">
        <f t="shared" si="0"/>
        <v>1870000</v>
      </c>
      <c r="G39" s="103">
        <f t="shared" si="2"/>
        <v>57111.463398927604</v>
      </c>
      <c r="H39" s="103">
        <f t="shared" si="1"/>
        <v>57000</v>
      </c>
    </row>
    <row r="40" spans="1:12" x14ac:dyDescent="0.3">
      <c r="A40" s="105">
        <v>33</v>
      </c>
      <c r="B40" s="106" t="s">
        <v>150</v>
      </c>
      <c r="C40" s="107">
        <v>0</v>
      </c>
      <c r="D40" s="103">
        <v>0</v>
      </c>
      <c r="E40" s="103">
        <v>0</v>
      </c>
      <c r="F40" s="103">
        <f t="shared" si="0"/>
        <v>0</v>
      </c>
      <c r="G40" s="103">
        <f t="shared" si="2"/>
        <v>0</v>
      </c>
      <c r="H40" s="103">
        <f t="shared" si="1"/>
        <v>0</v>
      </c>
    </row>
    <row r="41" spans="1:12" x14ac:dyDescent="0.3">
      <c r="A41" s="105">
        <v>34</v>
      </c>
      <c r="B41" s="106" t="s">
        <v>151</v>
      </c>
      <c r="C41" s="107">
        <v>100000</v>
      </c>
      <c r="D41" s="103">
        <v>905000</v>
      </c>
      <c r="E41" s="103">
        <v>1770000</v>
      </c>
      <c r="F41" s="103">
        <f t="shared" si="0"/>
        <v>2775000</v>
      </c>
      <c r="G41" s="103">
        <f t="shared" si="2"/>
        <v>84750.968412847113</v>
      </c>
      <c r="H41" s="103">
        <f t="shared" si="1"/>
        <v>85000</v>
      </c>
    </row>
    <row r="42" spans="1:12" x14ac:dyDescent="0.3">
      <c r="A42" s="105">
        <v>35</v>
      </c>
      <c r="B42" s="106" t="s">
        <v>152</v>
      </c>
      <c r="C42" s="107"/>
      <c r="D42" s="103"/>
      <c r="E42" s="103"/>
      <c r="F42" s="103">
        <f t="shared" si="0"/>
        <v>0</v>
      </c>
      <c r="G42" s="103">
        <f t="shared" si="2"/>
        <v>0</v>
      </c>
      <c r="H42" s="103">
        <f t="shared" si="1"/>
        <v>0</v>
      </c>
    </row>
    <row r="43" spans="1:12" x14ac:dyDescent="0.3">
      <c r="A43" s="105">
        <v>36</v>
      </c>
      <c r="B43" s="106" t="s">
        <v>153</v>
      </c>
      <c r="C43" s="107"/>
      <c r="D43" s="103"/>
      <c r="E43" s="103"/>
      <c r="F43" s="103">
        <f t="shared" si="0"/>
        <v>0</v>
      </c>
      <c r="G43" s="103">
        <f t="shared" si="2"/>
        <v>0</v>
      </c>
      <c r="H43" s="103">
        <f t="shared" si="1"/>
        <v>0</v>
      </c>
    </row>
    <row r="44" spans="1:12" x14ac:dyDescent="0.3">
      <c r="A44" s="105">
        <v>37</v>
      </c>
      <c r="B44" s="106" t="s">
        <v>154</v>
      </c>
      <c r="C44" s="107">
        <v>100000</v>
      </c>
      <c r="D44" s="103">
        <v>685000</v>
      </c>
      <c r="E44" s="103">
        <v>791000</v>
      </c>
      <c r="F44" s="103">
        <f t="shared" si="0"/>
        <v>1576000</v>
      </c>
      <c r="G44" s="103">
        <f t="shared" si="2"/>
        <v>48132.441880593527</v>
      </c>
      <c r="H44" s="103">
        <f t="shared" si="1"/>
        <v>48000</v>
      </c>
    </row>
    <row r="45" spans="1:12" x14ac:dyDescent="0.3">
      <c r="A45" s="105">
        <v>38</v>
      </c>
      <c r="B45" s="106" t="s">
        <v>155</v>
      </c>
      <c r="C45" s="107">
        <v>100000</v>
      </c>
      <c r="D45" s="103">
        <v>825000</v>
      </c>
      <c r="E45" s="103">
        <v>1670200</v>
      </c>
      <c r="F45" s="103">
        <f t="shared" si="0"/>
        <v>2595200</v>
      </c>
      <c r="G45" s="103">
        <f t="shared" si="2"/>
        <v>79259.716477484981</v>
      </c>
      <c r="H45" s="103">
        <f t="shared" si="1"/>
        <v>79500</v>
      </c>
    </row>
    <row r="46" spans="1:12" x14ac:dyDescent="0.3">
      <c r="A46" s="105">
        <v>39</v>
      </c>
      <c r="B46" s="106" t="s">
        <v>156</v>
      </c>
      <c r="C46" s="107">
        <v>100000</v>
      </c>
      <c r="D46" s="103">
        <v>795000</v>
      </c>
      <c r="E46" s="103">
        <v>320000</v>
      </c>
      <c r="F46" s="103">
        <f t="shared" si="0"/>
        <v>1215000</v>
      </c>
      <c r="G46" s="103">
        <f t="shared" si="2"/>
        <v>37107.180764543868</v>
      </c>
      <c r="H46" s="103">
        <f t="shared" si="1"/>
        <v>37000</v>
      </c>
    </row>
    <row r="47" spans="1:12" x14ac:dyDescent="0.3">
      <c r="A47" s="105">
        <v>40</v>
      </c>
      <c r="B47" s="106" t="s">
        <v>157</v>
      </c>
      <c r="C47" s="107">
        <v>100000</v>
      </c>
      <c r="D47" s="103">
        <v>855000</v>
      </c>
      <c r="E47" s="152">
        <v>5666897</v>
      </c>
      <c r="F47" s="103">
        <f t="shared" si="0"/>
        <v>6621897</v>
      </c>
      <c r="G47" s="103">
        <f t="shared" si="2"/>
        <v>202238.62467752327</v>
      </c>
      <c r="H47" s="103">
        <f t="shared" si="1"/>
        <v>202000</v>
      </c>
      <c r="J47" s="5">
        <v>1666897</v>
      </c>
      <c r="K47" s="5">
        <f>+J47+D47+C47</f>
        <v>2621897</v>
      </c>
      <c r="L47" s="5">
        <f>+K47*L6</f>
        <v>80075.066604950844</v>
      </c>
    </row>
    <row r="48" spans="1:12" x14ac:dyDescent="0.3">
      <c r="A48" s="105">
        <v>41</v>
      </c>
      <c r="B48" s="106" t="s">
        <v>158</v>
      </c>
      <c r="C48" s="107">
        <v>100000</v>
      </c>
      <c r="D48" s="103">
        <v>870000</v>
      </c>
      <c r="E48" s="103">
        <v>7795000</v>
      </c>
      <c r="F48" s="103">
        <f t="shared" si="0"/>
        <v>8765000</v>
      </c>
      <c r="G48" s="103">
        <f t="shared" si="2"/>
        <v>267690.89662652428</v>
      </c>
      <c r="H48" s="103">
        <f t="shared" si="1"/>
        <v>267500</v>
      </c>
    </row>
    <row r="49" spans="1:8" x14ac:dyDescent="0.3">
      <c r="A49" s="105">
        <v>42</v>
      </c>
      <c r="B49" s="106" t="s">
        <v>159</v>
      </c>
      <c r="C49" s="107">
        <v>100000</v>
      </c>
      <c r="D49" s="103">
        <v>800000</v>
      </c>
      <c r="E49" s="103">
        <v>1962000</v>
      </c>
      <c r="F49" s="103">
        <f t="shared" si="0"/>
        <v>2862000</v>
      </c>
      <c r="G49" s="103">
        <f t="shared" si="2"/>
        <v>87408.025800925563</v>
      </c>
      <c r="H49" s="103">
        <f t="shared" si="1"/>
        <v>87500</v>
      </c>
    </row>
    <row r="50" spans="1:8" x14ac:dyDescent="0.3">
      <c r="A50" s="105">
        <v>43</v>
      </c>
      <c r="B50" s="106" t="s">
        <v>160</v>
      </c>
      <c r="C50" s="107"/>
      <c r="D50" s="103"/>
      <c r="E50" s="103"/>
      <c r="F50" s="103">
        <f t="shared" si="0"/>
        <v>0</v>
      </c>
      <c r="G50" s="103">
        <f t="shared" si="2"/>
        <v>0</v>
      </c>
      <c r="H50" s="103">
        <f t="shared" si="1"/>
        <v>0</v>
      </c>
    </row>
    <row r="51" spans="1:8" x14ac:dyDescent="0.3">
      <c r="A51" s="105">
        <v>44</v>
      </c>
      <c r="B51" s="106" t="s">
        <v>161</v>
      </c>
      <c r="C51" s="107">
        <v>100000</v>
      </c>
      <c r="D51" s="103">
        <v>955000</v>
      </c>
      <c r="E51" s="103">
        <v>2065000</v>
      </c>
      <c r="F51" s="103">
        <f t="shared" si="0"/>
        <v>3120000</v>
      </c>
      <c r="G51" s="103">
        <f t="shared" si="2"/>
        <v>95287.575296606476</v>
      </c>
      <c r="H51" s="103">
        <f t="shared" si="1"/>
        <v>95500</v>
      </c>
    </row>
    <row r="52" spans="1:8" x14ac:dyDescent="0.3">
      <c r="A52" s="105">
        <v>45</v>
      </c>
      <c r="B52" s="106" t="s">
        <v>162</v>
      </c>
      <c r="C52" s="107">
        <v>100000</v>
      </c>
      <c r="D52" s="103">
        <v>880000</v>
      </c>
      <c r="E52" s="103">
        <v>1075000</v>
      </c>
      <c r="F52" s="103">
        <f t="shared" si="0"/>
        <v>2055000</v>
      </c>
      <c r="G52" s="103">
        <f t="shared" si="2"/>
        <v>62761.527959784078</v>
      </c>
      <c r="H52" s="103">
        <f t="shared" si="1"/>
        <v>63000</v>
      </c>
    </row>
    <row r="53" spans="1:8" x14ac:dyDescent="0.3">
      <c r="A53" s="105">
        <v>46</v>
      </c>
      <c r="B53" s="106" t="s">
        <v>163</v>
      </c>
      <c r="C53" s="107">
        <v>100000</v>
      </c>
      <c r="D53" s="103">
        <v>562000</v>
      </c>
      <c r="E53" s="103">
        <v>736000</v>
      </c>
      <c r="F53" s="103">
        <f t="shared" si="0"/>
        <v>1398000</v>
      </c>
      <c r="G53" s="103">
        <f t="shared" si="2"/>
        <v>42696.163546364056</v>
      </c>
      <c r="H53" s="103">
        <f t="shared" si="1"/>
        <v>42500</v>
      </c>
    </row>
    <row r="54" spans="1:8" x14ac:dyDescent="0.3">
      <c r="A54" s="105">
        <v>47</v>
      </c>
      <c r="B54" s="106" t="s">
        <v>164</v>
      </c>
      <c r="C54" s="107">
        <v>0</v>
      </c>
      <c r="D54" s="103"/>
      <c r="E54" s="103"/>
      <c r="F54" s="103">
        <f t="shared" si="0"/>
        <v>0</v>
      </c>
      <c r="G54" s="103">
        <f t="shared" si="2"/>
        <v>0</v>
      </c>
      <c r="H54" s="103">
        <f t="shared" si="1"/>
        <v>0</v>
      </c>
    </row>
    <row r="55" spans="1:8" x14ac:dyDescent="0.3">
      <c r="A55" s="105">
        <v>48</v>
      </c>
      <c r="B55" s="106" t="s">
        <v>165</v>
      </c>
      <c r="C55" s="107">
        <v>100000</v>
      </c>
      <c r="D55" s="103">
        <v>30000</v>
      </c>
      <c r="E55" s="103">
        <v>20000</v>
      </c>
      <c r="F55" s="103">
        <f t="shared" si="0"/>
        <v>150000</v>
      </c>
      <c r="G55" s="103">
        <f t="shared" si="2"/>
        <v>4581.1334277214655</v>
      </c>
      <c r="H55" s="103">
        <f t="shared" si="1"/>
        <v>4500</v>
      </c>
    </row>
    <row r="56" spans="1:8" x14ac:dyDescent="0.3">
      <c r="A56" s="105">
        <v>49</v>
      </c>
      <c r="B56" s="106" t="s">
        <v>166</v>
      </c>
      <c r="C56" s="107">
        <v>0</v>
      </c>
      <c r="D56" s="103"/>
      <c r="E56" s="103"/>
      <c r="F56" s="103">
        <f t="shared" si="0"/>
        <v>0</v>
      </c>
      <c r="G56" s="103">
        <f t="shared" si="2"/>
        <v>0</v>
      </c>
      <c r="H56" s="103">
        <f t="shared" si="1"/>
        <v>0</v>
      </c>
    </row>
    <row r="57" spans="1:8" x14ac:dyDescent="0.3">
      <c r="A57" s="105">
        <v>50</v>
      </c>
      <c r="B57" s="106" t="s">
        <v>167</v>
      </c>
      <c r="C57" s="107">
        <v>100000</v>
      </c>
      <c r="D57" s="103">
        <v>875000</v>
      </c>
      <c r="E57" s="103">
        <v>10615000</v>
      </c>
      <c r="F57" s="103">
        <f t="shared" si="0"/>
        <v>11590000</v>
      </c>
      <c r="G57" s="103">
        <f t="shared" si="2"/>
        <v>353968.90951527859</v>
      </c>
      <c r="H57" s="103">
        <f t="shared" si="1"/>
        <v>354000</v>
      </c>
    </row>
    <row r="58" spans="1:8" x14ac:dyDescent="0.3">
      <c r="A58" s="105">
        <v>51</v>
      </c>
      <c r="B58" s="106" t="s">
        <v>168</v>
      </c>
      <c r="C58" s="107">
        <v>100000</v>
      </c>
      <c r="D58" s="103">
        <v>845000</v>
      </c>
      <c r="E58" s="103">
        <v>396200</v>
      </c>
      <c r="F58" s="103">
        <f t="shared" si="0"/>
        <v>1341200</v>
      </c>
      <c r="G58" s="103">
        <f t="shared" si="2"/>
        <v>40961.441021733532</v>
      </c>
      <c r="H58" s="103">
        <f t="shared" si="1"/>
        <v>41000</v>
      </c>
    </row>
    <row r="59" spans="1:8" x14ac:dyDescent="0.3">
      <c r="A59" s="105">
        <v>52</v>
      </c>
      <c r="B59" s="106" t="s">
        <v>169</v>
      </c>
      <c r="C59" s="107">
        <v>100000</v>
      </c>
      <c r="D59" s="103">
        <v>900000</v>
      </c>
      <c r="E59" s="103">
        <v>300000</v>
      </c>
      <c r="F59" s="103">
        <f t="shared" si="0"/>
        <v>1300000</v>
      </c>
      <c r="G59" s="103">
        <f t="shared" si="2"/>
        <v>39703.156373586033</v>
      </c>
      <c r="H59" s="103">
        <f t="shared" si="1"/>
        <v>39500</v>
      </c>
    </row>
    <row r="60" spans="1:8" x14ac:dyDescent="0.3">
      <c r="A60" s="105">
        <v>53</v>
      </c>
      <c r="B60" s="106" t="s">
        <v>170</v>
      </c>
      <c r="C60" s="107">
        <v>100000</v>
      </c>
      <c r="D60" s="103">
        <v>870000</v>
      </c>
      <c r="E60" s="103">
        <v>1565000</v>
      </c>
      <c r="F60" s="103">
        <f t="shared" si="0"/>
        <v>2535000</v>
      </c>
      <c r="G60" s="103">
        <f t="shared" si="2"/>
        <v>77421.154928492761</v>
      </c>
      <c r="H60" s="103">
        <f t="shared" si="1"/>
        <v>77500</v>
      </c>
    </row>
    <row r="61" spans="1:8" x14ac:dyDescent="0.3">
      <c r="A61" s="105">
        <v>54</v>
      </c>
      <c r="B61" s="106" t="s">
        <v>171</v>
      </c>
      <c r="C61" s="107">
        <v>0</v>
      </c>
      <c r="D61" s="103"/>
      <c r="E61" s="103"/>
      <c r="F61" s="103">
        <f t="shared" si="0"/>
        <v>0</v>
      </c>
      <c r="G61" s="103">
        <f t="shared" si="2"/>
        <v>0</v>
      </c>
      <c r="H61" s="103">
        <f t="shared" si="1"/>
        <v>0</v>
      </c>
    </row>
    <row r="62" spans="1:8" x14ac:dyDescent="0.3">
      <c r="A62" s="105">
        <v>55</v>
      </c>
      <c r="B62" s="106" t="s">
        <v>172</v>
      </c>
      <c r="C62" s="107">
        <v>100000</v>
      </c>
      <c r="D62" s="103">
        <v>890000</v>
      </c>
      <c r="E62" s="103">
        <v>1715000</v>
      </c>
      <c r="F62" s="103">
        <f t="shared" si="0"/>
        <v>2705000</v>
      </c>
      <c r="G62" s="103">
        <f t="shared" si="2"/>
        <v>82613.106146577091</v>
      </c>
      <c r="H62" s="103">
        <f t="shared" si="1"/>
        <v>82500</v>
      </c>
    </row>
    <row r="63" spans="1:8" x14ac:dyDescent="0.3">
      <c r="A63" s="105">
        <v>56</v>
      </c>
      <c r="B63" s="106" t="s">
        <v>173</v>
      </c>
      <c r="C63" s="107">
        <v>100000</v>
      </c>
      <c r="D63" s="103">
        <v>715000</v>
      </c>
      <c r="E63" s="103">
        <v>1450000</v>
      </c>
      <c r="F63" s="103">
        <f t="shared" si="0"/>
        <v>2265000</v>
      </c>
      <c r="G63" s="103">
        <f t="shared" si="2"/>
        <v>69175.114758594122</v>
      </c>
      <c r="H63" s="103">
        <f t="shared" si="1"/>
        <v>69000</v>
      </c>
    </row>
    <row r="64" spans="1:8" x14ac:dyDescent="0.3">
      <c r="A64" s="105">
        <v>57</v>
      </c>
      <c r="B64" s="106" t="s">
        <v>174</v>
      </c>
      <c r="C64" s="107">
        <v>100000</v>
      </c>
      <c r="D64" s="103">
        <v>875000</v>
      </c>
      <c r="E64" s="103">
        <v>3175000</v>
      </c>
      <c r="F64" s="103">
        <f t="shared" si="0"/>
        <v>4150000</v>
      </c>
      <c r="G64" s="103">
        <f t="shared" si="2"/>
        <v>126744.69150029388</v>
      </c>
      <c r="H64" s="103">
        <f t="shared" si="1"/>
        <v>126500</v>
      </c>
    </row>
    <row r="65" spans="1:8" x14ac:dyDescent="0.3">
      <c r="A65" s="105">
        <v>58</v>
      </c>
      <c r="B65" s="106" t="s">
        <v>175</v>
      </c>
      <c r="C65" s="107">
        <v>100000</v>
      </c>
      <c r="D65" s="103">
        <v>870000</v>
      </c>
      <c r="E65" s="103">
        <v>6840000</v>
      </c>
      <c r="F65" s="103">
        <f t="shared" si="0"/>
        <v>7810000</v>
      </c>
      <c r="G65" s="103">
        <f t="shared" si="2"/>
        <v>238524.34713669764</v>
      </c>
      <c r="H65" s="103">
        <f t="shared" si="1"/>
        <v>238500</v>
      </c>
    </row>
    <row r="66" spans="1:8" x14ac:dyDescent="0.3">
      <c r="A66" s="105">
        <v>59</v>
      </c>
      <c r="B66" s="106" t="s">
        <v>176</v>
      </c>
      <c r="C66" s="107">
        <v>0</v>
      </c>
      <c r="D66" s="103"/>
      <c r="E66" s="103"/>
      <c r="F66" s="103">
        <f t="shared" si="0"/>
        <v>0</v>
      </c>
      <c r="G66" s="103">
        <f t="shared" si="2"/>
        <v>0</v>
      </c>
      <c r="H66" s="103">
        <f t="shared" si="1"/>
        <v>0</v>
      </c>
    </row>
    <row r="67" spans="1:8" x14ac:dyDescent="0.3">
      <c r="A67" s="105">
        <v>60</v>
      </c>
      <c r="B67" s="106" t="s">
        <v>177</v>
      </c>
      <c r="C67" s="107">
        <v>100000</v>
      </c>
      <c r="D67" s="103">
        <v>855000</v>
      </c>
      <c r="E67" s="103">
        <v>1860000</v>
      </c>
      <c r="F67" s="103">
        <f t="shared" si="0"/>
        <v>2815000</v>
      </c>
      <c r="G67" s="103">
        <f t="shared" si="2"/>
        <v>85972.603993572833</v>
      </c>
      <c r="H67" s="103">
        <f t="shared" si="1"/>
        <v>86000</v>
      </c>
    </row>
    <row r="68" spans="1:8" x14ac:dyDescent="0.3">
      <c r="A68" s="105">
        <v>61</v>
      </c>
      <c r="B68" s="106" t="s">
        <v>178</v>
      </c>
      <c r="C68" s="107">
        <v>100000</v>
      </c>
      <c r="D68" s="103">
        <v>720000</v>
      </c>
      <c r="E68" s="103">
        <v>210000</v>
      </c>
      <c r="F68" s="103">
        <f t="shared" si="0"/>
        <v>1030000</v>
      </c>
      <c r="G68" s="103">
        <f t="shared" si="2"/>
        <v>31457.116203687398</v>
      </c>
      <c r="H68" s="103">
        <f t="shared" si="1"/>
        <v>31500</v>
      </c>
    </row>
    <row r="69" spans="1:8" x14ac:dyDescent="0.3">
      <c r="A69" s="105">
        <v>62</v>
      </c>
      <c r="B69" s="106" t="s">
        <v>179</v>
      </c>
      <c r="C69" s="107">
        <v>100000</v>
      </c>
      <c r="D69" s="103">
        <v>870000</v>
      </c>
      <c r="E69" s="103">
        <v>2050000</v>
      </c>
      <c r="F69" s="103">
        <f t="shared" si="0"/>
        <v>3020000</v>
      </c>
      <c r="G69" s="103">
        <f t="shared" si="2"/>
        <v>92233.486344792167</v>
      </c>
      <c r="H69" s="103">
        <f t="shared" si="1"/>
        <v>92000</v>
      </c>
    </row>
    <row r="70" spans="1:8" x14ac:dyDescent="0.3">
      <c r="A70" s="105">
        <v>63</v>
      </c>
      <c r="B70" s="106" t="s">
        <v>180</v>
      </c>
      <c r="C70" s="107">
        <v>0</v>
      </c>
      <c r="D70" s="103"/>
      <c r="E70" s="103"/>
      <c r="F70" s="103">
        <f t="shared" si="0"/>
        <v>0</v>
      </c>
      <c r="G70" s="103">
        <f t="shared" si="2"/>
        <v>0</v>
      </c>
      <c r="H70" s="103">
        <f t="shared" si="1"/>
        <v>0</v>
      </c>
    </row>
    <row r="71" spans="1:8" x14ac:dyDescent="0.3">
      <c r="A71" s="105">
        <v>64</v>
      </c>
      <c r="B71" s="106" t="s">
        <v>181</v>
      </c>
      <c r="C71" s="107">
        <v>100000</v>
      </c>
      <c r="D71" s="103">
        <v>650000</v>
      </c>
      <c r="E71" s="103">
        <v>1150000</v>
      </c>
      <c r="F71" s="103">
        <f t="shared" si="0"/>
        <v>1900000</v>
      </c>
      <c r="G71" s="103">
        <f t="shared" si="2"/>
        <v>58027.690084471898</v>
      </c>
      <c r="H71" s="103">
        <f t="shared" si="1"/>
        <v>58000</v>
      </c>
    </row>
    <row r="72" spans="1:8" x14ac:dyDescent="0.3">
      <c r="A72" s="105">
        <v>65</v>
      </c>
      <c r="B72" s="106" t="s">
        <v>182</v>
      </c>
      <c r="C72" s="107">
        <v>100000</v>
      </c>
      <c r="D72" s="103">
        <v>675000</v>
      </c>
      <c r="E72" s="103">
        <v>175000</v>
      </c>
      <c r="F72" s="103">
        <f t="shared" si="0"/>
        <v>950000</v>
      </c>
      <c r="G72" s="103">
        <f t="shared" si="2"/>
        <v>29013.845042235949</v>
      </c>
      <c r="H72" s="103">
        <f t="shared" si="1"/>
        <v>29000</v>
      </c>
    </row>
    <row r="73" spans="1:8" x14ac:dyDescent="0.3">
      <c r="A73" s="105">
        <v>66</v>
      </c>
      <c r="B73" s="106" t="s">
        <v>183</v>
      </c>
      <c r="C73" s="107">
        <v>0</v>
      </c>
      <c r="D73" s="103"/>
      <c r="E73" s="103"/>
      <c r="F73" s="103">
        <f t="shared" ref="F73:F136" si="3">+C73+D73+E73</f>
        <v>0</v>
      </c>
      <c r="G73" s="103">
        <f t="shared" si="2"/>
        <v>0</v>
      </c>
      <c r="H73" s="103">
        <f t="shared" ref="H73:H136" si="4">MROUND(G73,500)</f>
        <v>0</v>
      </c>
    </row>
    <row r="74" spans="1:8" x14ac:dyDescent="0.3">
      <c r="A74" s="105">
        <v>67</v>
      </c>
      <c r="B74" s="106" t="s">
        <v>184</v>
      </c>
      <c r="C74" s="107">
        <v>0</v>
      </c>
      <c r="D74" s="103"/>
      <c r="E74" s="103"/>
      <c r="F74" s="103">
        <f t="shared" si="3"/>
        <v>0</v>
      </c>
      <c r="G74" s="103">
        <f t="shared" ref="G74:G137" si="5">+F74*$L$6</f>
        <v>0</v>
      </c>
      <c r="H74" s="103">
        <f t="shared" si="4"/>
        <v>0</v>
      </c>
    </row>
    <row r="75" spans="1:8" x14ac:dyDescent="0.3">
      <c r="A75" s="105">
        <v>68</v>
      </c>
      <c r="B75" s="106" t="s">
        <v>185</v>
      </c>
      <c r="C75" s="107">
        <v>100000</v>
      </c>
      <c r="D75" s="103">
        <v>760000</v>
      </c>
      <c r="E75" s="103">
        <v>1460000</v>
      </c>
      <c r="F75" s="103">
        <f t="shared" si="3"/>
        <v>2320000</v>
      </c>
      <c r="G75" s="103">
        <f t="shared" si="5"/>
        <v>70854.863682091993</v>
      </c>
      <c r="H75" s="103">
        <f t="shared" si="4"/>
        <v>71000</v>
      </c>
    </row>
    <row r="76" spans="1:8" x14ac:dyDescent="0.3">
      <c r="A76" s="105">
        <v>69</v>
      </c>
      <c r="B76" s="106" t="s">
        <v>186</v>
      </c>
      <c r="C76" s="107">
        <v>100000</v>
      </c>
      <c r="D76" s="103">
        <v>665000</v>
      </c>
      <c r="E76" s="103">
        <v>235000</v>
      </c>
      <c r="F76" s="103">
        <f t="shared" si="3"/>
        <v>1000000</v>
      </c>
      <c r="G76" s="103">
        <f t="shared" si="5"/>
        <v>30540.889518143103</v>
      </c>
      <c r="H76" s="103">
        <f t="shared" si="4"/>
        <v>30500</v>
      </c>
    </row>
    <row r="77" spans="1:8" x14ac:dyDescent="0.3">
      <c r="A77" s="105">
        <v>70</v>
      </c>
      <c r="B77" s="106" t="s">
        <v>187</v>
      </c>
      <c r="C77" s="107">
        <v>100000</v>
      </c>
      <c r="D77" s="103">
        <v>860000</v>
      </c>
      <c r="E77" s="103">
        <v>640000</v>
      </c>
      <c r="F77" s="103">
        <f t="shared" si="3"/>
        <v>1600000</v>
      </c>
      <c r="G77" s="103">
        <f t="shared" si="5"/>
        <v>48865.423229028966</v>
      </c>
      <c r="H77" s="103">
        <f t="shared" si="4"/>
        <v>49000</v>
      </c>
    </row>
    <row r="78" spans="1:8" x14ac:dyDescent="0.3">
      <c r="A78" s="105">
        <v>71</v>
      </c>
      <c r="B78" s="106" t="s">
        <v>188</v>
      </c>
      <c r="C78" s="107">
        <v>100000</v>
      </c>
      <c r="D78" s="103">
        <v>835000</v>
      </c>
      <c r="E78" s="103">
        <v>505000</v>
      </c>
      <c r="F78" s="103">
        <f t="shared" si="3"/>
        <v>1440000</v>
      </c>
      <c r="G78" s="103">
        <f t="shared" si="5"/>
        <v>43978.880906126069</v>
      </c>
      <c r="H78" s="103">
        <f t="shared" si="4"/>
        <v>44000</v>
      </c>
    </row>
    <row r="79" spans="1:8" x14ac:dyDescent="0.3">
      <c r="A79" s="105">
        <v>72</v>
      </c>
      <c r="B79" s="106" t="s">
        <v>189</v>
      </c>
      <c r="C79" s="107">
        <v>100000</v>
      </c>
      <c r="D79" s="103">
        <v>710000</v>
      </c>
      <c r="E79" s="103">
        <v>732500</v>
      </c>
      <c r="F79" s="103">
        <f t="shared" si="3"/>
        <v>1542500</v>
      </c>
      <c r="G79" s="103">
        <f t="shared" si="5"/>
        <v>47109.322081735736</v>
      </c>
      <c r="H79" s="103">
        <f t="shared" si="4"/>
        <v>47000</v>
      </c>
    </row>
    <row r="80" spans="1:8" x14ac:dyDescent="0.3">
      <c r="A80" s="105">
        <v>73</v>
      </c>
      <c r="B80" s="115" t="s">
        <v>190</v>
      </c>
      <c r="C80" s="107">
        <v>100000</v>
      </c>
      <c r="D80" s="103">
        <v>855000</v>
      </c>
      <c r="E80" s="103">
        <v>175000</v>
      </c>
      <c r="F80" s="103">
        <f t="shared" si="3"/>
        <v>1130000</v>
      </c>
      <c r="G80" s="103">
        <f t="shared" si="5"/>
        <v>34511.20515550171</v>
      </c>
      <c r="H80" s="103">
        <f t="shared" si="4"/>
        <v>34500</v>
      </c>
    </row>
    <row r="81" spans="1:8" x14ac:dyDescent="0.3">
      <c r="A81" s="105">
        <v>74</v>
      </c>
      <c r="B81" s="106" t="s">
        <v>191</v>
      </c>
      <c r="C81" s="107">
        <v>0</v>
      </c>
      <c r="D81" s="103"/>
      <c r="E81" s="103"/>
      <c r="F81" s="103">
        <f t="shared" si="3"/>
        <v>0</v>
      </c>
      <c r="G81" s="103">
        <f t="shared" si="5"/>
        <v>0</v>
      </c>
      <c r="H81" s="103">
        <f t="shared" si="4"/>
        <v>0</v>
      </c>
    </row>
    <row r="82" spans="1:8" x14ac:dyDescent="0.3">
      <c r="A82" s="105">
        <v>75</v>
      </c>
      <c r="B82" s="106" t="s">
        <v>192</v>
      </c>
      <c r="C82" s="107">
        <v>100000</v>
      </c>
      <c r="D82" s="103">
        <v>890000</v>
      </c>
      <c r="E82" s="103">
        <v>550000</v>
      </c>
      <c r="F82" s="103">
        <f t="shared" si="3"/>
        <v>1540000</v>
      </c>
      <c r="G82" s="103">
        <f t="shared" si="5"/>
        <v>47032.969857940378</v>
      </c>
      <c r="H82" s="103">
        <f t="shared" si="4"/>
        <v>47000</v>
      </c>
    </row>
    <row r="83" spans="1:8" x14ac:dyDescent="0.3">
      <c r="A83" s="105">
        <v>76</v>
      </c>
      <c r="B83" s="106" t="s">
        <v>193</v>
      </c>
      <c r="C83" s="107">
        <v>100000</v>
      </c>
      <c r="D83" s="103">
        <v>695000</v>
      </c>
      <c r="E83" s="103">
        <v>300100</v>
      </c>
      <c r="F83" s="103">
        <f t="shared" si="3"/>
        <v>1095100</v>
      </c>
      <c r="G83" s="103">
        <f t="shared" si="5"/>
        <v>33445.328111318515</v>
      </c>
      <c r="H83" s="103">
        <f t="shared" si="4"/>
        <v>33500</v>
      </c>
    </row>
    <row r="84" spans="1:8" x14ac:dyDescent="0.3">
      <c r="A84" s="105">
        <v>77</v>
      </c>
      <c r="B84" s="106" t="s">
        <v>194</v>
      </c>
      <c r="C84" s="107">
        <v>100000</v>
      </c>
      <c r="D84" s="103">
        <v>840000</v>
      </c>
      <c r="E84" s="103">
        <v>885000</v>
      </c>
      <c r="F84" s="103">
        <f t="shared" si="3"/>
        <v>1825000</v>
      </c>
      <c r="G84" s="103">
        <f t="shared" si="5"/>
        <v>55737.12337061116</v>
      </c>
      <c r="H84" s="103">
        <f t="shared" si="4"/>
        <v>55500</v>
      </c>
    </row>
    <row r="85" spans="1:8" x14ac:dyDescent="0.3">
      <c r="A85" s="105">
        <v>78</v>
      </c>
      <c r="B85" s="106" t="s">
        <v>195</v>
      </c>
      <c r="C85" s="107">
        <v>100000</v>
      </c>
      <c r="D85" s="103">
        <v>160000</v>
      </c>
      <c r="E85" s="103">
        <v>82800</v>
      </c>
      <c r="F85" s="103">
        <f t="shared" si="3"/>
        <v>342800</v>
      </c>
      <c r="G85" s="103">
        <f t="shared" si="5"/>
        <v>10469.416926819456</v>
      </c>
      <c r="H85" s="103">
        <f t="shared" si="4"/>
        <v>10500</v>
      </c>
    </row>
    <row r="86" spans="1:8" x14ac:dyDescent="0.3">
      <c r="A86" s="105">
        <v>79</v>
      </c>
      <c r="B86" s="106" t="s">
        <v>196</v>
      </c>
      <c r="C86" s="107">
        <v>0</v>
      </c>
      <c r="D86" s="103"/>
      <c r="E86" s="103"/>
      <c r="F86" s="103">
        <f t="shared" si="3"/>
        <v>0</v>
      </c>
      <c r="G86" s="103">
        <f t="shared" si="5"/>
        <v>0</v>
      </c>
      <c r="H86" s="103">
        <f t="shared" si="4"/>
        <v>0</v>
      </c>
    </row>
    <row r="87" spans="1:8" x14ac:dyDescent="0.3">
      <c r="A87" s="105">
        <v>80</v>
      </c>
      <c r="B87" s="116" t="s">
        <v>197</v>
      </c>
      <c r="C87" s="107">
        <v>100000</v>
      </c>
      <c r="D87" s="103">
        <v>805000</v>
      </c>
      <c r="E87" s="103">
        <v>625000</v>
      </c>
      <c r="F87" s="103">
        <f t="shared" si="3"/>
        <v>1530000</v>
      </c>
      <c r="G87" s="103">
        <f t="shared" si="5"/>
        <v>46727.560962758951</v>
      </c>
      <c r="H87" s="103">
        <f t="shared" si="4"/>
        <v>46500</v>
      </c>
    </row>
    <row r="88" spans="1:8" x14ac:dyDescent="0.3">
      <c r="A88" s="105">
        <v>81</v>
      </c>
      <c r="B88" s="116" t="s">
        <v>198</v>
      </c>
      <c r="C88" s="107">
        <v>100000</v>
      </c>
      <c r="D88" s="103">
        <v>130000</v>
      </c>
      <c r="E88" s="103">
        <v>17900</v>
      </c>
      <c r="F88" s="103">
        <f t="shared" si="3"/>
        <v>247900</v>
      </c>
      <c r="G88" s="103">
        <f t="shared" si="5"/>
        <v>7571.0865115476754</v>
      </c>
      <c r="H88" s="103">
        <f t="shared" si="4"/>
        <v>7500</v>
      </c>
    </row>
    <row r="89" spans="1:8" x14ac:dyDescent="0.3">
      <c r="A89" s="105">
        <v>82</v>
      </c>
      <c r="B89" s="116" t="s">
        <v>199</v>
      </c>
      <c r="C89" s="107">
        <v>100000</v>
      </c>
      <c r="D89" s="103">
        <v>710000</v>
      </c>
      <c r="E89" s="103">
        <v>780000</v>
      </c>
      <c r="F89" s="103">
        <f t="shared" si="3"/>
        <v>1590000</v>
      </c>
      <c r="G89" s="103">
        <f t="shared" si="5"/>
        <v>48560.014333847532</v>
      </c>
      <c r="H89" s="103">
        <f t="shared" si="4"/>
        <v>48500</v>
      </c>
    </row>
    <row r="90" spans="1:8" x14ac:dyDescent="0.3">
      <c r="A90" s="117">
        <v>83</v>
      </c>
      <c r="B90" s="118" t="s">
        <v>200</v>
      </c>
      <c r="C90" s="107">
        <v>100000</v>
      </c>
      <c r="D90" s="103">
        <v>155000</v>
      </c>
      <c r="E90" s="103">
        <v>275100</v>
      </c>
      <c r="F90" s="103">
        <f t="shared" si="3"/>
        <v>530100</v>
      </c>
      <c r="G90" s="103">
        <f t="shared" si="5"/>
        <v>16189.725533567658</v>
      </c>
      <c r="H90" s="103">
        <f t="shared" si="4"/>
        <v>16000</v>
      </c>
    </row>
    <row r="91" spans="1:8" x14ac:dyDescent="0.3">
      <c r="A91" s="117">
        <v>84</v>
      </c>
      <c r="B91" s="116" t="s">
        <v>201</v>
      </c>
      <c r="C91" s="107">
        <v>100000</v>
      </c>
      <c r="D91" s="103">
        <v>775000</v>
      </c>
      <c r="E91" s="103">
        <v>732800</v>
      </c>
      <c r="F91" s="103">
        <f t="shared" si="3"/>
        <v>1607800</v>
      </c>
      <c r="G91" s="103">
        <f t="shared" si="5"/>
        <v>49103.642167270482</v>
      </c>
      <c r="H91" s="103">
        <f t="shared" si="4"/>
        <v>49000</v>
      </c>
    </row>
    <row r="92" spans="1:8" x14ac:dyDescent="0.3">
      <c r="A92" s="119">
        <v>85</v>
      </c>
      <c r="B92" s="118" t="s">
        <v>202</v>
      </c>
      <c r="C92" s="107">
        <v>100000</v>
      </c>
      <c r="D92" s="103">
        <v>425000</v>
      </c>
      <c r="E92" s="103">
        <v>304000</v>
      </c>
      <c r="F92" s="103">
        <f t="shared" si="3"/>
        <v>829000</v>
      </c>
      <c r="G92" s="103">
        <f t="shared" si="5"/>
        <v>25318.397410540634</v>
      </c>
      <c r="H92" s="103">
        <f t="shared" si="4"/>
        <v>25500</v>
      </c>
    </row>
    <row r="93" spans="1:8" x14ac:dyDescent="0.3">
      <c r="A93" s="120">
        <v>86</v>
      </c>
      <c r="B93" s="118" t="s">
        <v>203</v>
      </c>
      <c r="C93" s="107">
        <v>0</v>
      </c>
      <c r="D93" s="103">
        <v>0</v>
      </c>
      <c r="E93" s="103">
        <v>0</v>
      </c>
      <c r="F93" s="103">
        <f t="shared" si="3"/>
        <v>0</v>
      </c>
      <c r="G93" s="103">
        <f t="shared" si="5"/>
        <v>0</v>
      </c>
      <c r="H93" s="103">
        <f t="shared" si="4"/>
        <v>0</v>
      </c>
    </row>
    <row r="94" spans="1:8" x14ac:dyDescent="0.3">
      <c r="A94" s="120">
        <v>87</v>
      </c>
      <c r="B94" s="118" t="s">
        <v>204</v>
      </c>
      <c r="C94" s="107">
        <v>100000</v>
      </c>
      <c r="D94" s="103">
        <v>760000</v>
      </c>
      <c r="E94" s="103">
        <v>3260000</v>
      </c>
      <c r="F94" s="103">
        <f t="shared" si="3"/>
        <v>4120000</v>
      </c>
      <c r="G94" s="103">
        <f t="shared" si="5"/>
        <v>125828.46481474959</v>
      </c>
      <c r="H94" s="103">
        <f t="shared" si="4"/>
        <v>126000</v>
      </c>
    </row>
    <row r="95" spans="1:8" x14ac:dyDescent="0.3">
      <c r="A95" s="120">
        <v>88</v>
      </c>
      <c r="B95" s="118" t="s">
        <v>205</v>
      </c>
      <c r="C95" s="107">
        <v>100000</v>
      </c>
      <c r="D95" s="103">
        <v>700000</v>
      </c>
      <c r="E95" s="103">
        <v>1925500</v>
      </c>
      <c r="F95" s="103">
        <f t="shared" si="3"/>
        <v>2725500</v>
      </c>
      <c r="G95" s="103">
        <f t="shared" si="5"/>
        <v>83239.194381699024</v>
      </c>
      <c r="H95" s="103">
        <f t="shared" si="4"/>
        <v>83000</v>
      </c>
    </row>
    <row r="96" spans="1:8" x14ac:dyDescent="0.3">
      <c r="A96" s="120">
        <v>89</v>
      </c>
      <c r="B96" s="118" t="s">
        <v>206</v>
      </c>
      <c r="C96" s="107">
        <v>100000</v>
      </c>
      <c r="D96" s="103">
        <v>725000</v>
      </c>
      <c r="E96" s="103">
        <v>2080000</v>
      </c>
      <c r="F96" s="103">
        <f t="shared" si="3"/>
        <v>2905000</v>
      </c>
      <c r="G96" s="103">
        <f t="shared" si="5"/>
        <v>88721.284050205708</v>
      </c>
      <c r="H96" s="103">
        <f t="shared" si="4"/>
        <v>88500</v>
      </c>
    </row>
    <row r="97" spans="1:8" x14ac:dyDescent="0.3">
      <c r="A97" s="120">
        <v>90</v>
      </c>
      <c r="B97" s="118" t="s">
        <v>207</v>
      </c>
      <c r="C97" s="107">
        <v>100000</v>
      </c>
      <c r="D97" s="103">
        <v>725000</v>
      </c>
      <c r="E97" s="103">
        <v>6348000</v>
      </c>
      <c r="F97" s="103">
        <f t="shared" si="3"/>
        <v>7173000</v>
      </c>
      <c r="G97" s="103">
        <f t="shared" si="5"/>
        <v>219069.80051364048</v>
      </c>
      <c r="H97" s="103">
        <f t="shared" si="4"/>
        <v>219000</v>
      </c>
    </row>
    <row r="98" spans="1:8" x14ac:dyDescent="0.3">
      <c r="A98" s="120">
        <v>91</v>
      </c>
      <c r="B98" s="118" t="s">
        <v>208</v>
      </c>
      <c r="C98" s="107">
        <v>100000</v>
      </c>
      <c r="D98" s="103">
        <v>280000</v>
      </c>
      <c r="E98" s="103">
        <v>279100</v>
      </c>
      <c r="F98" s="103">
        <f t="shared" si="3"/>
        <v>659100</v>
      </c>
      <c r="G98" s="103">
        <f t="shared" si="5"/>
        <v>20129.50028140812</v>
      </c>
      <c r="H98" s="103">
        <f t="shared" si="4"/>
        <v>20000</v>
      </c>
    </row>
    <row r="99" spans="1:8" x14ac:dyDescent="0.3">
      <c r="A99" s="120">
        <v>92</v>
      </c>
      <c r="B99" s="118" t="s">
        <v>209</v>
      </c>
      <c r="C99" s="107">
        <v>100000</v>
      </c>
      <c r="D99" s="103">
        <v>220000</v>
      </c>
      <c r="E99" s="103">
        <v>102200</v>
      </c>
      <c r="F99" s="103">
        <f t="shared" si="3"/>
        <v>422200</v>
      </c>
      <c r="G99" s="103">
        <f t="shared" si="5"/>
        <v>12894.363554560017</v>
      </c>
      <c r="H99" s="103">
        <f t="shared" si="4"/>
        <v>13000</v>
      </c>
    </row>
    <row r="100" spans="1:8" x14ac:dyDescent="0.3">
      <c r="A100" s="120">
        <v>93</v>
      </c>
      <c r="B100" s="118" t="s">
        <v>210</v>
      </c>
      <c r="C100" s="107">
        <v>100000</v>
      </c>
      <c r="D100" s="103">
        <v>450000</v>
      </c>
      <c r="E100" s="103">
        <v>101500</v>
      </c>
      <c r="F100" s="103">
        <f t="shared" si="3"/>
        <v>651500</v>
      </c>
      <c r="G100" s="103">
        <f t="shared" si="5"/>
        <v>19897.389521070232</v>
      </c>
      <c r="H100" s="103">
        <f t="shared" si="4"/>
        <v>20000</v>
      </c>
    </row>
    <row r="101" spans="1:8" x14ac:dyDescent="0.3">
      <c r="A101" s="120">
        <v>94</v>
      </c>
      <c r="B101" s="118" t="s">
        <v>211</v>
      </c>
      <c r="C101" s="107">
        <v>100000</v>
      </c>
      <c r="D101" s="103">
        <v>700000</v>
      </c>
      <c r="E101" s="103">
        <v>13765000</v>
      </c>
      <c r="F101" s="103">
        <f t="shared" si="3"/>
        <v>14565000</v>
      </c>
      <c r="G101" s="103">
        <f t="shared" si="5"/>
        <v>444828.05583175429</v>
      </c>
      <c r="H101" s="103">
        <f t="shared" si="4"/>
        <v>445000</v>
      </c>
    </row>
    <row r="102" spans="1:8" x14ac:dyDescent="0.3">
      <c r="A102" s="120">
        <v>95</v>
      </c>
      <c r="B102" s="118" t="s">
        <v>212</v>
      </c>
      <c r="C102" s="107">
        <v>100000</v>
      </c>
      <c r="D102" s="103">
        <v>60000</v>
      </c>
      <c r="E102" s="103">
        <v>14700</v>
      </c>
      <c r="F102" s="103">
        <f t="shared" si="3"/>
        <v>174700</v>
      </c>
      <c r="G102" s="103">
        <f t="shared" si="5"/>
        <v>5335.4933988195999</v>
      </c>
      <c r="H102" s="103">
        <f t="shared" si="4"/>
        <v>5500</v>
      </c>
    </row>
    <row r="103" spans="1:8" x14ac:dyDescent="0.3">
      <c r="A103" s="121">
        <v>96</v>
      </c>
      <c r="B103" s="118" t="s">
        <v>213</v>
      </c>
      <c r="C103" s="107">
        <v>100000</v>
      </c>
      <c r="D103" s="103">
        <v>610000</v>
      </c>
      <c r="E103" s="103">
        <v>145000</v>
      </c>
      <c r="F103" s="103">
        <f t="shared" si="3"/>
        <v>855000</v>
      </c>
      <c r="G103" s="103">
        <f t="shared" si="5"/>
        <v>26112.460538012354</v>
      </c>
      <c r="H103" s="103">
        <f t="shared" si="4"/>
        <v>26000</v>
      </c>
    </row>
    <row r="104" spans="1:8" x14ac:dyDescent="0.3">
      <c r="A104" s="120">
        <v>97</v>
      </c>
      <c r="B104" s="118" t="s">
        <v>214</v>
      </c>
      <c r="C104" s="107">
        <v>100000</v>
      </c>
      <c r="D104" s="103">
        <v>25000</v>
      </c>
      <c r="E104" s="103">
        <v>97600</v>
      </c>
      <c r="F104" s="103">
        <f t="shared" si="3"/>
        <v>222600</v>
      </c>
      <c r="G104" s="103">
        <f t="shared" si="5"/>
        <v>6798.4020067386546</v>
      </c>
      <c r="H104" s="103">
        <f t="shared" si="4"/>
        <v>7000</v>
      </c>
    </row>
    <row r="105" spans="1:8" x14ac:dyDescent="0.3">
      <c r="A105" s="120">
        <v>98</v>
      </c>
      <c r="B105" s="118" t="s">
        <v>215</v>
      </c>
      <c r="C105" s="107">
        <v>100000</v>
      </c>
      <c r="D105" s="103">
        <v>720000</v>
      </c>
      <c r="E105" s="103">
        <v>250000</v>
      </c>
      <c r="F105" s="103">
        <f t="shared" si="3"/>
        <v>1070000</v>
      </c>
      <c r="G105" s="103">
        <f t="shared" si="5"/>
        <v>32678.751784413122</v>
      </c>
      <c r="H105" s="103">
        <f t="shared" si="4"/>
        <v>32500</v>
      </c>
    </row>
    <row r="106" spans="1:8" x14ac:dyDescent="0.3">
      <c r="A106" s="120">
        <v>99</v>
      </c>
      <c r="B106" s="118" t="s">
        <v>216</v>
      </c>
      <c r="C106" s="107">
        <v>100000</v>
      </c>
      <c r="D106" s="103">
        <v>735000</v>
      </c>
      <c r="E106" s="103">
        <v>2760000</v>
      </c>
      <c r="F106" s="103">
        <f t="shared" si="3"/>
        <v>3595000</v>
      </c>
      <c r="G106" s="103">
        <f t="shared" si="5"/>
        <v>109794.49781772445</v>
      </c>
      <c r="H106" s="103">
        <f t="shared" si="4"/>
        <v>110000</v>
      </c>
    </row>
    <row r="107" spans="1:8" x14ac:dyDescent="0.3">
      <c r="A107" s="120">
        <v>100</v>
      </c>
      <c r="B107" s="118" t="s">
        <v>217</v>
      </c>
      <c r="C107" s="107">
        <v>100000</v>
      </c>
      <c r="D107" s="103">
        <v>540000</v>
      </c>
      <c r="E107" s="103">
        <v>1510500</v>
      </c>
      <c r="F107" s="103">
        <f t="shared" si="3"/>
        <v>2150500</v>
      </c>
      <c r="G107" s="103">
        <f t="shared" si="5"/>
        <v>65678.182908766743</v>
      </c>
      <c r="H107" s="103">
        <f t="shared" si="4"/>
        <v>65500</v>
      </c>
    </row>
    <row r="108" spans="1:8" x14ac:dyDescent="0.3">
      <c r="A108" s="120">
        <v>101</v>
      </c>
      <c r="B108" s="118" t="s">
        <v>218</v>
      </c>
      <c r="C108" s="107">
        <v>100000</v>
      </c>
      <c r="D108" s="103">
        <v>660000</v>
      </c>
      <c r="E108" s="103">
        <v>1066500</v>
      </c>
      <c r="F108" s="103">
        <f t="shared" si="3"/>
        <v>1826500</v>
      </c>
      <c r="G108" s="103">
        <f t="shared" si="5"/>
        <v>55782.934704888379</v>
      </c>
      <c r="H108" s="103">
        <f t="shared" si="4"/>
        <v>56000</v>
      </c>
    </row>
    <row r="109" spans="1:8" x14ac:dyDescent="0.3">
      <c r="A109" s="120">
        <v>102</v>
      </c>
      <c r="B109" s="118" t="s">
        <v>219</v>
      </c>
      <c r="C109" s="107">
        <v>100000</v>
      </c>
      <c r="D109" s="103">
        <v>770000</v>
      </c>
      <c r="E109" s="103">
        <v>3995000</v>
      </c>
      <c r="F109" s="103">
        <f t="shared" si="3"/>
        <v>4865000</v>
      </c>
      <c r="G109" s="103">
        <f t="shared" si="5"/>
        <v>148581.42750576619</v>
      </c>
      <c r="H109" s="103">
        <f t="shared" si="4"/>
        <v>148500</v>
      </c>
    </row>
    <row r="110" spans="1:8" x14ac:dyDescent="0.3">
      <c r="A110" s="120">
        <v>103</v>
      </c>
      <c r="B110" s="118" t="s">
        <v>220</v>
      </c>
      <c r="C110" s="107">
        <v>100000</v>
      </c>
      <c r="D110" s="103">
        <v>700000</v>
      </c>
      <c r="E110" s="103">
        <v>1800000</v>
      </c>
      <c r="F110" s="103">
        <f t="shared" si="3"/>
        <v>2600000</v>
      </c>
      <c r="G110" s="103">
        <f t="shared" si="5"/>
        <v>79406.312747172065</v>
      </c>
      <c r="H110" s="103">
        <f t="shared" si="4"/>
        <v>79500</v>
      </c>
    </row>
    <row r="111" spans="1:8" x14ac:dyDescent="0.3">
      <c r="A111" s="121">
        <v>104</v>
      </c>
      <c r="B111" s="118" t="s">
        <v>221</v>
      </c>
      <c r="C111" s="107">
        <v>100000</v>
      </c>
      <c r="D111" s="103">
        <v>690000</v>
      </c>
      <c r="E111" s="103">
        <v>2245000</v>
      </c>
      <c r="F111" s="103">
        <f t="shared" si="3"/>
        <v>3035000</v>
      </c>
      <c r="G111" s="103">
        <f t="shared" si="5"/>
        <v>92691.599687564318</v>
      </c>
      <c r="H111" s="103">
        <f t="shared" si="4"/>
        <v>92500</v>
      </c>
    </row>
    <row r="112" spans="1:8" x14ac:dyDescent="0.3">
      <c r="A112" s="120">
        <v>105</v>
      </c>
      <c r="B112" s="118" t="s">
        <v>222</v>
      </c>
      <c r="C112" s="107">
        <v>100000</v>
      </c>
      <c r="D112" s="103">
        <v>820000</v>
      </c>
      <c r="E112" s="103">
        <v>940000</v>
      </c>
      <c r="F112" s="103">
        <f t="shared" si="3"/>
        <v>1860000</v>
      </c>
      <c r="G112" s="103">
        <f t="shared" si="5"/>
        <v>56806.054503746171</v>
      </c>
      <c r="H112" s="103">
        <f t="shared" si="4"/>
        <v>57000</v>
      </c>
    </row>
    <row r="113" spans="1:8" x14ac:dyDescent="0.3">
      <c r="A113" s="120">
        <v>106</v>
      </c>
      <c r="B113" s="118" t="s">
        <v>223</v>
      </c>
      <c r="C113" s="107">
        <v>100000</v>
      </c>
      <c r="D113" s="103">
        <v>705000</v>
      </c>
      <c r="E113" s="103">
        <v>405000</v>
      </c>
      <c r="F113" s="103">
        <f t="shared" si="3"/>
        <v>1210000</v>
      </c>
      <c r="G113" s="103">
        <f t="shared" si="5"/>
        <v>36954.476316953158</v>
      </c>
      <c r="H113" s="103">
        <f t="shared" si="4"/>
        <v>37000</v>
      </c>
    </row>
    <row r="114" spans="1:8" x14ac:dyDescent="0.3">
      <c r="A114" s="120">
        <v>107</v>
      </c>
      <c r="B114" s="118" t="s">
        <v>224</v>
      </c>
      <c r="C114" s="107">
        <v>100000</v>
      </c>
      <c r="D114" s="103">
        <v>705000</v>
      </c>
      <c r="E114" s="103">
        <v>300000</v>
      </c>
      <c r="F114" s="103">
        <f t="shared" si="3"/>
        <v>1105000</v>
      </c>
      <c r="G114" s="103">
        <f t="shared" si="5"/>
        <v>33747.682917548125</v>
      </c>
      <c r="H114" s="103">
        <f t="shared" si="4"/>
        <v>33500</v>
      </c>
    </row>
    <row r="115" spans="1:8" x14ac:dyDescent="0.3">
      <c r="A115" s="121">
        <v>108</v>
      </c>
      <c r="B115" s="118" t="s">
        <v>225</v>
      </c>
      <c r="C115" s="107">
        <v>100000</v>
      </c>
      <c r="D115" s="103">
        <v>700000</v>
      </c>
      <c r="E115" s="103">
        <v>370000</v>
      </c>
      <c r="F115" s="103">
        <f t="shared" si="3"/>
        <v>1170000</v>
      </c>
      <c r="G115" s="103">
        <f t="shared" si="5"/>
        <v>35732.84073622743</v>
      </c>
      <c r="H115" s="103">
        <f t="shared" si="4"/>
        <v>35500</v>
      </c>
    </row>
    <row r="116" spans="1:8" x14ac:dyDescent="0.3">
      <c r="A116" s="120">
        <v>109</v>
      </c>
      <c r="B116" s="118" t="s">
        <v>226</v>
      </c>
      <c r="C116" s="107">
        <v>100000</v>
      </c>
      <c r="D116" s="103">
        <v>690000</v>
      </c>
      <c r="E116" s="103">
        <v>4080000</v>
      </c>
      <c r="F116" s="103">
        <f t="shared" si="3"/>
        <v>4870000</v>
      </c>
      <c r="G116" s="103">
        <f t="shared" si="5"/>
        <v>148734.1319533569</v>
      </c>
      <c r="H116" s="103">
        <f t="shared" si="4"/>
        <v>148500</v>
      </c>
    </row>
    <row r="117" spans="1:8" x14ac:dyDescent="0.3">
      <c r="A117" s="120">
        <v>110</v>
      </c>
      <c r="B117" s="122" t="s">
        <v>227</v>
      </c>
      <c r="C117" s="107">
        <v>100000</v>
      </c>
      <c r="D117" s="103">
        <v>630000</v>
      </c>
      <c r="E117" s="103">
        <v>1368000</v>
      </c>
      <c r="F117" s="103">
        <f t="shared" si="3"/>
        <v>2098000</v>
      </c>
      <c r="G117" s="103">
        <f t="shared" si="5"/>
        <v>64074.78620906423</v>
      </c>
      <c r="H117" s="103">
        <f t="shared" si="4"/>
        <v>64000</v>
      </c>
    </row>
    <row r="118" spans="1:8" x14ac:dyDescent="0.3">
      <c r="A118" s="120">
        <v>111</v>
      </c>
      <c r="B118" s="118" t="s">
        <v>228</v>
      </c>
      <c r="C118" s="107">
        <v>100000</v>
      </c>
      <c r="D118" s="103">
        <v>695000</v>
      </c>
      <c r="E118" s="103">
        <v>1880000</v>
      </c>
      <c r="F118" s="103">
        <f t="shared" si="3"/>
        <v>2675000</v>
      </c>
      <c r="G118" s="103">
        <f t="shared" si="5"/>
        <v>81696.879461032804</v>
      </c>
      <c r="H118" s="103">
        <f t="shared" si="4"/>
        <v>81500</v>
      </c>
    </row>
    <row r="119" spans="1:8" x14ac:dyDescent="0.3">
      <c r="A119" s="120">
        <v>112</v>
      </c>
      <c r="B119" s="118" t="s">
        <v>229</v>
      </c>
      <c r="C119" s="107">
        <v>100000</v>
      </c>
      <c r="D119" s="103">
        <v>710000</v>
      </c>
      <c r="E119" s="103">
        <v>2965000</v>
      </c>
      <c r="F119" s="103">
        <f t="shared" si="3"/>
        <v>3775000</v>
      </c>
      <c r="G119" s="103">
        <f t="shared" si="5"/>
        <v>115291.85793099021</v>
      </c>
      <c r="H119" s="103">
        <f t="shared" si="4"/>
        <v>115500</v>
      </c>
    </row>
    <row r="120" spans="1:8" x14ac:dyDescent="0.3">
      <c r="A120" s="120">
        <v>113</v>
      </c>
      <c r="B120" s="118" t="s">
        <v>230</v>
      </c>
      <c r="C120" s="107">
        <v>100000</v>
      </c>
      <c r="D120" s="103">
        <v>670000</v>
      </c>
      <c r="E120" s="103">
        <v>2270000</v>
      </c>
      <c r="F120" s="103">
        <f t="shared" si="3"/>
        <v>3040000</v>
      </c>
      <c r="G120" s="103">
        <f t="shared" si="5"/>
        <v>92844.304135155035</v>
      </c>
      <c r="H120" s="103">
        <f t="shared" si="4"/>
        <v>93000</v>
      </c>
    </row>
    <row r="121" spans="1:8" x14ac:dyDescent="0.3">
      <c r="A121" s="121">
        <v>114</v>
      </c>
      <c r="B121" s="118" t="s">
        <v>231</v>
      </c>
      <c r="C121" s="107">
        <v>100000</v>
      </c>
      <c r="D121" s="103">
        <v>690000</v>
      </c>
      <c r="E121" s="103">
        <v>685000</v>
      </c>
      <c r="F121" s="103">
        <f t="shared" si="3"/>
        <v>1475000</v>
      </c>
      <c r="G121" s="103">
        <f t="shared" si="5"/>
        <v>45047.81203926108</v>
      </c>
      <c r="H121" s="103">
        <f t="shared" si="4"/>
        <v>45000</v>
      </c>
    </row>
    <row r="122" spans="1:8" x14ac:dyDescent="0.3">
      <c r="A122" s="123">
        <v>115</v>
      </c>
      <c r="B122" s="118" t="s">
        <v>232</v>
      </c>
      <c r="C122" s="107">
        <v>100000</v>
      </c>
      <c r="D122" s="103">
        <v>655000</v>
      </c>
      <c r="E122" s="103">
        <v>2350000</v>
      </c>
      <c r="F122" s="103">
        <f t="shared" si="3"/>
        <v>3105000</v>
      </c>
      <c r="G122" s="103">
        <f t="shared" si="5"/>
        <v>94829.46195383434</v>
      </c>
      <c r="H122" s="103">
        <f t="shared" si="4"/>
        <v>95000</v>
      </c>
    </row>
    <row r="123" spans="1:8" x14ac:dyDescent="0.3">
      <c r="A123" s="123">
        <v>116</v>
      </c>
      <c r="B123" s="118" t="s">
        <v>233</v>
      </c>
      <c r="C123" s="107">
        <v>100000</v>
      </c>
      <c r="D123" s="103">
        <v>515000</v>
      </c>
      <c r="E123" s="103">
        <v>282500</v>
      </c>
      <c r="F123" s="103">
        <f t="shared" si="3"/>
        <v>897500</v>
      </c>
      <c r="G123" s="103">
        <f t="shared" si="5"/>
        <v>27410.448342533437</v>
      </c>
      <c r="H123" s="103">
        <f t="shared" si="4"/>
        <v>27500</v>
      </c>
    </row>
    <row r="124" spans="1:8" x14ac:dyDescent="0.3">
      <c r="A124" s="120">
        <v>117</v>
      </c>
      <c r="B124" s="118" t="s">
        <v>234</v>
      </c>
      <c r="C124" s="107">
        <v>100000</v>
      </c>
      <c r="D124" s="103">
        <v>675000</v>
      </c>
      <c r="E124" s="103">
        <v>22159000</v>
      </c>
      <c r="F124" s="103">
        <f t="shared" si="3"/>
        <v>22934000</v>
      </c>
      <c r="G124" s="103">
        <f t="shared" si="5"/>
        <v>700424.76020909392</v>
      </c>
      <c r="H124" s="103">
        <f t="shared" si="4"/>
        <v>700500</v>
      </c>
    </row>
    <row r="125" spans="1:8" x14ac:dyDescent="0.3">
      <c r="A125" s="120">
        <v>118</v>
      </c>
      <c r="B125" s="118" t="s">
        <v>235</v>
      </c>
      <c r="C125" s="107">
        <v>100000</v>
      </c>
      <c r="D125" s="103">
        <v>520000</v>
      </c>
      <c r="E125" s="103">
        <v>1447000</v>
      </c>
      <c r="F125" s="103">
        <f t="shared" si="3"/>
        <v>2067000</v>
      </c>
      <c r="G125" s="103">
        <f t="shared" si="5"/>
        <v>63128.018634001797</v>
      </c>
      <c r="H125" s="103">
        <f t="shared" si="4"/>
        <v>63000</v>
      </c>
    </row>
    <row r="126" spans="1:8" x14ac:dyDescent="0.3">
      <c r="A126" s="120">
        <v>119</v>
      </c>
      <c r="B126" s="118" t="s">
        <v>236</v>
      </c>
      <c r="C126" s="107">
        <v>100000</v>
      </c>
      <c r="D126" s="103">
        <v>50000</v>
      </c>
      <c r="E126" s="103">
        <v>12200</v>
      </c>
      <c r="F126" s="103">
        <f t="shared" si="3"/>
        <v>162200</v>
      </c>
      <c r="G126" s="103">
        <f t="shared" si="5"/>
        <v>4953.7322798428113</v>
      </c>
      <c r="H126" s="103">
        <f t="shared" si="4"/>
        <v>5000</v>
      </c>
    </row>
    <row r="127" spans="1:8" x14ac:dyDescent="0.3">
      <c r="A127" s="121">
        <v>120</v>
      </c>
      <c r="B127" s="118" t="s">
        <v>237</v>
      </c>
      <c r="C127" s="107">
        <v>100000</v>
      </c>
      <c r="D127" s="103">
        <v>685000</v>
      </c>
      <c r="E127" s="103">
        <v>280000</v>
      </c>
      <c r="F127" s="103">
        <f t="shared" si="3"/>
        <v>1065000</v>
      </c>
      <c r="G127" s="103">
        <f t="shared" si="5"/>
        <v>32526.047336822405</v>
      </c>
      <c r="H127" s="103">
        <f t="shared" si="4"/>
        <v>32500</v>
      </c>
    </row>
    <row r="128" spans="1:8" x14ac:dyDescent="0.3">
      <c r="A128" s="120">
        <v>121</v>
      </c>
      <c r="B128" s="118" t="s">
        <v>238</v>
      </c>
      <c r="C128" s="107">
        <v>100000</v>
      </c>
      <c r="D128" s="103">
        <v>650000</v>
      </c>
      <c r="E128" s="103">
        <v>3536000</v>
      </c>
      <c r="F128" s="103">
        <f t="shared" si="3"/>
        <v>4286000</v>
      </c>
      <c r="G128" s="103">
        <f t="shared" si="5"/>
        <v>130898.25247476134</v>
      </c>
      <c r="H128" s="103">
        <f t="shared" si="4"/>
        <v>131000</v>
      </c>
    </row>
    <row r="129" spans="1:8" x14ac:dyDescent="0.3">
      <c r="A129" s="121">
        <v>122</v>
      </c>
      <c r="B129" s="118" t="s">
        <v>239</v>
      </c>
      <c r="C129" s="107">
        <v>100000</v>
      </c>
      <c r="D129" s="103">
        <v>580000</v>
      </c>
      <c r="E129" s="103">
        <v>645000</v>
      </c>
      <c r="F129" s="103">
        <f t="shared" si="3"/>
        <v>1325000</v>
      </c>
      <c r="G129" s="103">
        <f t="shared" si="5"/>
        <v>40466.67861153961</v>
      </c>
      <c r="H129" s="103">
        <f t="shared" si="4"/>
        <v>40500</v>
      </c>
    </row>
    <row r="130" spans="1:8" x14ac:dyDescent="0.3">
      <c r="A130" s="120">
        <v>123</v>
      </c>
      <c r="B130" s="118" t="s">
        <v>240</v>
      </c>
      <c r="C130" s="107">
        <v>0</v>
      </c>
      <c r="D130" s="103">
        <v>0</v>
      </c>
      <c r="E130" s="103"/>
      <c r="F130" s="103">
        <f t="shared" si="3"/>
        <v>0</v>
      </c>
      <c r="G130" s="103">
        <f t="shared" si="5"/>
        <v>0</v>
      </c>
      <c r="H130" s="103">
        <f t="shared" si="4"/>
        <v>0</v>
      </c>
    </row>
    <row r="131" spans="1:8" x14ac:dyDescent="0.3">
      <c r="A131" s="120">
        <v>124</v>
      </c>
      <c r="B131" s="118" t="s">
        <v>241</v>
      </c>
      <c r="C131" s="107">
        <v>100000</v>
      </c>
      <c r="D131" s="103">
        <v>635000</v>
      </c>
      <c r="E131" s="103">
        <v>460000</v>
      </c>
      <c r="F131" s="103">
        <f t="shared" si="3"/>
        <v>1195000</v>
      </c>
      <c r="G131" s="103">
        <f t="shared" si="5"/>
        <v>36496.362974181007</v>
      </c>
      <c r="H131" s="103">
        <f t="shared" si="4"/>
        <v>36500</v>
      </c>
    </row>
    <row r="132" spans="1:8" x14ac:dyDescent="0.3">
      <c r="A132" s="120">
        <v>125</v>
      </c>
      <c r="B132" s="118" t="s">
        <v>242</v>
      </c>
      <c r="C132" s="107">
        <v>100000</v>
      </c>
      <c r="D132" s="103">
        <v>645000</v>
      </c>
      <c r="E132" s="103">
        <v>500000</v>
      </c>
      <c r="F132" s="103">
        <f t="shared" si="3"/>
        <v>1245000</v>
      </c>
      <c r="G132" s="103">
        <f t="shared" si="5"/>
        <v>38023.407450088162</v>
      </c>
      <c r="H132" s="103">
        <f t="shared" si="4"/>
        <v>38000</v>
      </c>
    </row>
    <row r="133" spans="1:8" x14ac:dyDescent="0.3">
      <c r="A133" s="120">
        <v>126</v>
      </c>
      <c r="B133" s="118" t="s">
        <v>243</v>
      </c>
      <c r="C133" s="107">
        <v>100000</v>
      </c>
      <c r="D133" s="103">
        <v>435000</v>
      </c>
      <c r="E133" s="103">
        <v>534000</v>
      </c>
      <c r="F133" s="103">
        <f t="shared" si="3"/>
        <v>1069000</v>
      </c>
      <c r="G133" s="103">
        <f t="shared" si="5"/>
        <v>32648.210894894975</v>
      </c>
      <c r="H133" s="103">
        <f t="shared" si="4"/>
        <v>32500</v>
      </c>
    </row>
    <row r="134" spans="1:8" x14ac:dyDescent="0.3">
      <c r="A134" s="120">
        <v>127</v>
      </c>
      <c r="B134" s="118" t="s">
        <v>244</v>
      </c>
      <c r="C134" s="107">
        <v>100000</v>
      </c>
      <c r="D134" s="103">
        <v>635000</v>
      </c>
      <c r="E134" s="103">
        <v>1380000</v>
      </c>
      <c r="F134" s="103">
        <f t="shared" si="3"/>
        <v>2115000</v>
      </c>
      <c r="G134" s="103">
        <f t="shared" si="5"/>
        <v>64593.981330872666</v>
      </c>
      <c r="H134" s="103">
        <f t="shared" si="4"/>
        <v>64500</v>
      </c>
    </row>
    <row r="135" spans="1:8" x14ac:dyDescent="0.3">
      <c r="A135" s="120">
        <v>128</v>
      </c>
      <c r="B135" s="118" t="s">
        <v>245</v>
      </c>
      <c r="C135" s="107">
        <v>100000</v>
      </c>
      <c r="D135" s="103">
        <v>645000</v>
      </c>
      <c r="E135" s="103">
        <v>780000</v>
      </c>
      <c r="F135" s="103">
        <f t="shared" si="3"/>
        <v>1525000</v>
      </c>
      <c r="G135" s="103">
        <f t="shared" si="5"/>
        <v>46574.856515168234</v>
      </c>
      <c r="H135" s="103">
        <f t="shared" si="4"/>
        <v>46500</v>
      </c>
    </row>
    <row r="136" spans="1:8" x14ac:dyDescent="0.3">
      <c r="A136" s="120">
        <v>129</v>
      </c>
      <c r="B136" s="118" t="s">
        <v>246</v>
      </c>
      <c r="C136" s="107">
        <v>100000</v>
      </c>
      <c r="D136" s="103">
        <v>615000</v>
      </c>
      <c r="E136" s="103">
        <v>1552000</v>
      </c>
      <c r="F136" s="103">
        <f t="shared" si="3"/>
        <v>2267000</v>
      </c>
      <c r="G136" s="103">
        <f t="shared" si="5"/>
        <v>69236.196537630414</v>
      </c>
      <c r="H136" s="103">
        <f t="shared" si="4"/>
        <v>69000</v>
      </c>
    </row>
    <row r="137" spans="1:8" x14ac:dyDescent="0.3">
      <c r="A137" s="120">
        <v>130</v>
      </c>
      <c r="B137" s="118" t="s">
        <v>247</v>
      </c>
      <c r="C137" s="107">
        <v>100000</v>
      </c>
      <c r="D137" s="103">
        <v>640000</v>
      </c>
      <c r="E137" s="103">
        <v>4169300</v>
      </c>
      <c r="F137" s="103">
        <f t="shared" ref="F137:F200" si="6">+C137+D137+E137</f>
        <v>4909300</v>
      </c>
      <c r="G137" s="103">
        <f t="shared" si="5"/>
        <v>149934.38891141993</v>
      </c>
      <c r="H137" s="103">
        <f t="shared" ref="H137:H200" si="7">MROUND(G137,500)</f>
        <v>150000</v>
      </c>
    </row>
    <row r="138" spans="1:8" x14ac:dyDescent="0.3">
      <c r="A138" s="120">
        <v>131</v>
      </c>
      <c r="B138" s="118" t="s">
        <v>248</v>
      </c>
      <c r="C138" s="107">
        <v>100000</v>
      </c>
      <c r="D138" s="103">
        <v>625000</v>
      </c>
      <c r="E138" s="103">
        <v>5570000</v>
      </c>
      <c r="F138" s="103">
        <f t="shared" si="6"/>
        <v>6295000</v>
      </c>
      <c r="G138" s="103">
        <f t="shared" ref="G138:G201" si="8">+F138*$L$6</f>
        <v>192254.89951671084</v>
      </c>
      <c r="H138" s="103">
        <f t="shared" si="7"/>
        <v>192500</v>
      </c>
    </row>
    <row r="139" spans="1:8" x14ac:dyDescent="0.3">
      <c r="A139" s="120">
        <v>132</v>
      </c>
      <c r="B139" s="118" t="s">
        <v>249</v>
      </c>
      <c r="C139" s="107">
        <v>100000</v>
      </c>
      <c r="D139" s="103">
        <v>635000</v>
      </c>
      <c r="E139" s="103">
        <v>625000</v>
      </c>
      <c r="F139" s="103">
        <f t="shared" si="6"/>
        <v>1360000</v>
      </c>
      <c r="G139" s="103">
        <f t="shared" si="8"/>
        <v>41535.609744674621</v>
      </c>
      <c r="H139" s="103">
        <f t="shared" si="7"/>
        <v>41500</v>
      </c>
    </row>
    <row r="140" spans="1:8" x14ac:dyDescent="0.3">
      <c r="A140" s="121">
        <v>133</v>
      </c>
      <c r="B140" s="118" t="s">
        <v>250</v>
      </c>
      <c r="C140" s="107">
        <v>100000</v>
      </c>
      <c r="D140" s="103">
        <v>590000</v>
      </c>
      <c r="E140" s="103">
        <v>1215000</v>
      </c>
      <c r="F140" s="103">
        <f t="shared" si="6"/>
        <v>1905000</v>
      </c>
      <c r="G140" s="103">
        <f t="shared" si="8"/>
        <v>58180.394532062608</v>
      </c>
      <c r="H140" s="103">
        <f t="shared" si="7"/>
        <v>58000</v>
      </c>
    </row>
    <row r="141" spans="1:8" x14ac:dyDescent="0.3">
      <c r="A141" s="120">
        <v>134</v>
      </c>
      <c r="B141" s="118" t="s">
        <v>251</v>
      </c>
      <c r="C141" s="107">
        <v>100000</v>
      </c>
      <c r="D141" s="103">
        <v>605000</v>
      </c>
      <c r="E141" s="103">
        <v>1645000</v>
      </c>
      <c r="F141" s="103">
        <f t="shared" si="6"/>
        <v>2350000</v>
      </c>
      <c r="G141" s="103">
        <f t="shared" si="8"/>
        <v>71771.090367636294</v>
      </c>
      <c r="H141" s="103">
        <f t="shared" si="7"/>
        <v>72000</v>
      </c>
    </row>
    <row r="142" spans="1:8" x14ac:dyDescent="0.3">
      <c r="A142" s="120">
        <v>135</v>
      </c>
      <c r="B142" s="118" t="s">
        <v>252</v>
      </c>
      <c r="C142" s="107">
        <v>0</v>
      </c>
      <c r="D142" s="103"/>
      <c r="E142" s="103"/>
      <c r="F142" s="103">
        <f t="shared" si="6"/>
        <v>0</v>
      </c>
      <c r="G142" s="103">
        <f t="shared" si="8"/>
        <v>0</v>
      </c>
      <c r="H142" s="103">
        <f t="shared" si="7"/>
        <v>0</v>
      </c>
    </row>
    <row r="143" spans="1:8" x14ac:dyDescent="0.3">
      <c r="A143" s="123">
        <v>136</v>
      </c>
      <c r="B143" s="118" t="s">
        <v>253</v>
      </c>
      <c r="C143" s="107">
        <v>100000</v>
      </c>
      <c r="D143" s="103">
        <v>500000</v>
      </c>
      <c r="E143" s="103">
        <v>200000</v>
      </c>
      <c r="F143" s="103">
        <f t="shared" si="6"/>
        <v>800000</v>
      </c>
      <c r="G143" s="103">
        <f t="shared" si="8"/>
        <v>24432.711614514483</v>
      </c>
      <c r="H143" s="103">
        <f t="shared" si="7"/>
        <v>24500</v>
      </c>
    </row>
    <row r="144" spans="1:8" x14ac:dyDescent="0.3">
      <c r="A144" s="120">
        <v>137</v>
      </c>
      <c r="B144" s="118" t="s">
        <v>254</v>
      </c>
      <c r="C144" s="107">
        <v>100000</v>
      </c>
      <c r="D144" s="103">
        <v>630000</v>
      </c>
      <c r="E144" s="103">
        <v>630500</v>
      </c>
      <c r="F144" s="103">
        <f t="shared" si="6"/>
        <v>1360500</v>
      </c>
      <c r="G144" s="103">
        <f t="shared" si="8"/>
        <v>41550.880189433694</v>
      </c>
      <c r="H144" s="103">
        <f t="shared" si="7"/>
        <v>41500</v>
      </c>
    </row>
    <row r="145" spans="1:8" x14ac:dyDescent="0.3">
      <c r="A145" s="120">
        <v>138</v>
      </c>
      <c r="B145" s="118" t="s">
        <v>255</v>
      </c>
      <c r="C145" s="107">
        <v>0</v>
      </c>
      <c r="D145" s="103"/>
      <c r="E145" s="103"/>
      <c r="F145" s="103">
        <f t="shared" si="6"/>
        <v>0</v>
      </c>
      <c r="G145" s="103">
        <f t="shared" si="8"/>
        <v>0</v>
      </c>
      <c r="H145" s="103">
        <f t="shared" si="7"/>
        <v>0</v>
      </c>
    </row>
    <row r="146" spans="1:8" x14ac:dyDescent="0.3">
      <c r="A146" s="120">
        <v>139</v>
      </c>
      <c r="B146" s="118" t="s">
        <v>256</v>
      </c>
      <c r="C146" s="107">
        <v>100000</v>
      </c>
      <c r="D146" s="103">
        <v>525000</v>
      </c>
      <c r="E146" s="103">
        <v>636000</v>
      </c>
      <c r="F146" s="103">
        <f t="shared" si="6"/>
        <v>1261000</v>
      </c>
      <c r="G146" s="103">
        <f t="shared" si="8"/>
        <v>38512.061682378451</v>
      </c>
      <c r="H146" s="103">
        <f t="shared" si="7"/>
        <v>38500</v>
      </c>
    </row>
    <row r="147" spans="1:8" x14ac:dyDescent="0.3">
      <c r="A147" s="124">
        <v>140</v>
      </c>
      <c r="B147" s="118" t="s">
        <v>257</v>
      </c>
      <c r="C147" s="107">
        <v>100000</v>
      </c>
      <c r="D147" s="103">
        <v>185000</v>
      </c>
      <c r="E147" s="103">
        <v>278000</v>
      </c>
      <c r="F147" s="103">
        <f t="shared" si="6"/>
        <v>563000</v>
      </c>
      <c r="G147" s="103">
        <f t="shared" si="8"/>
        <v>17194.520798714566</v>
      </c>
      <c r="H147" s="103">
        <f t="shared" si="7"/>
        <v>17000</v>
      </c>
    </row>
    <row r="148" spans="1:8" x14ac:dyDescent="0.3">
      <c r="A148" s="123">
        <v>141</v>
      </c>
      <c r="B148" s="118" t="s">
        <v>258</v>
      </c>
      <c r="C148" s="107">
        <v>100000</v>
      </c>
      <c r="D148" s="103">
        <v>575000</v>
      </c>
      <c r="E148" s="103">
        <v>2525000</v>
      </c>
      <c r="F148" s="103">
        <f t="shared" si="6"/>
        <v>3200000</v>
      </c>
      <c r="G148" s="103">
        <f t="shared" si="8"/>
        <v>97730.846458057931</v>
      </c>
      <c r="H148" s="103">
        <f t="shared" si="7"/>
        <v>97500</v>
      </c>
    </row>
    <row r="149" spans="1:8" x14ac:dyDescent="0.3">
      <c r="A149" s="123">
        <v>142</v>
      </c>
      <c r="B149" s="118" t="s">
        <v>259</v>
      </c>
      <c r="C149" s="107">
        <v>100000</v>
      </c>
      <c r="D149" s="103">
        <v>560000</v>
      </c>
      <c r="E149" s="103">
        <v>311000</v>
      </c>
      <c r="F149" s="103">
        <f t="shared" si="6"/>
        <v>971000</v>
      </c>
      <c r="G149" s="103">
        <f t="shared" si="8"/>
        <v>29655.203722116952</v>
      </c>
      <c r="H149" s="103">
        <f t="shared" si="7"/>
        <v>29500</v>
      </c>
    </row>
    <row r="150" spans="1:8" x14ac:dyDescent="0.3">
      <c r="A150" s="120">
        <v>143</v>
      </c>
      <c r="B150" s="118" t="s">
        <v>260</v>
      </c>
      <c r="C150" s="107">
        <v>100000</v>
      </c>
      <c r="D150" s="103">
        <v>565000</v>
      </c>
      <c r="E150" s="103">
        <v>340000</v>
      </c>
      <c r="F150" s="103">
        <f t="shared" si="6"/>
        <v>1005000</v>
      </c>
      <c r="G150" s="103">
        <f t="shared" si="8"/>
        <v>30693.593965733817</v>
      </c>
      <c r="H150" s="103">
        <f t="shared" si="7"/>
        <v>30500</v>
      </c>
    </row>
    <row r="151" spans="1:8" x14ac:dyDescent="0.3">
      <c r="A151" s="120">
        <v>144</v>
      </c>
      <c r="B151" s="118" t="s">
        <v>261</v>
      </c>
      <c r="C151" s="107">
        <v>0</v>
      </c>
      <c r="D151" s="103"/>
      <c r="E151" s="103"/>
      <c r="F151" s="103">
        <f t="shared" si="6"/>
        <v>0</v>
      </c>
      <c r="G151" s="103">
        <f t="shared" si="8"/>
        <v>0</v>
      </c>
      <c r="H151" s="103">
        <f t="shared" si="7"/>
        <v>0</v>
      </c>
    </row>
    <row r="152" spans="1:8" x14ac:dyDescent="0.3">
      <c r="A152" s="120">
        <v>145</v>
      </c>
      <c r="B152" s="118" t="s">
        <v>262</v>
      </c>
      <c r="C152" s="107">
        <v>100000</v>
      </c>
      <c r="D152" s="103">
        <v>500000</v>
      </c>
      <c r="E152" s="103">
        <v>2320000</v>
      </c>
      <c r="F152" s="103">
        <f t="shared" si="6"/>
        <v>2920000</v>
      </c>
      <c r="G152" s="103">
        <f t="shared" si="8"/>
        <v>89179.397392977859</v>
      </c>
      <c r="H152" s="103">
        <f t="shared" si="7"/>
        <v>89000</v>
      </c>
    </row>
    <row r="153" spans="1:8" x14ac:dyDescent="0.3">
      <c r="A153" s="120">
        <v>146</v>
      </c>
      <c r="B153" s="118" t="s">
        <v>263</v>
      </c>
      <c r="C153" s="107">
        <v>100000</v>
      </c>
      <c r="D153" s="103">
        <v>510000</v>
      </c>
      <c r="E153" s="103">
        <v>4025000</v>
      </c>
      <c r="F153" s="103">
        <f t="shared" si="6"/>
        <v>4635000</v>
      </c>
      <c r="G153" s="103">
        <f t="shared" si="8"/>
        <v>141557.02291659327</v>
      </c>
      <c r="H153" s="103">
        <f t="shared" si="7"/>
        <v>141500</v>
      </c>
    </row>
    <row r="154" spans="1:8" x14ac:dyDescent="0.3">
      <c r="A154" s="121">
        <v>147</v>
      </c>
      <c r="B154" s="118" t="s">
        <v>264</v>
      </c>
      <c r="C154" s="107">
        <v>100000</v>
      </c>
      <c r="D154" s="103">
        <v>430000</v>
      </c>
      <c r="E154" s="103">
        <v>198500</v>
      </c>
      <c r="F154" s="103">
        <f t="shared" si="6"/>
        <v>728500</v>
      </c>
      <c r="G154" s="103">
        <f t="shared" si="8"/>
        <v>22249.038013967249</v>
      </c>
      <c r="H154" s="103">
        <f t="shared" si="7"/>
        <v>22000</v>
      </c>
    </row>
    <row r="155" spans="1:8" x14ac:dyDescent="0.3">
      <c r="A155" s="120">
        <v>148</v>
      </c>
      <c r="B155" s="118" t="s">
        <v>265</v>
      </c>
      <c r="C155" s="107">
        <v>100000</v>
      </c>
      <c r="D155" s="103">
        <v>550000</v>
      </c>
      <c r="E155" s="103">
        <v>4155000</v>
      </c>
      <c r="F155" s="103">
        <f t="shared" si="6"/>
        <v>4805000</v>
      </c>
      <c r="G155" s="103">
        <f t="shared" si="8"/>
        <v>146748.97413467761</v>
      </c>
      <c r="H155" s="103">
        <f t="shared" si="7"/>
        <v>146500</v>
      </c>
    </row>
    <row r="156" spans="1:8" x14ac:dyDescent="0.3">
      <c r="A156" s="120">
        <v>149</v>
      </c>
      <c r="B156" s="118" t="s">
        <v>266</v>
      </c>
      <c r="C156" s="107">
        <v>100000</v>
      </c>
      <c r="D156" s="103">
        <v>535000</v>
      </c>
      <c r="E156" s="103">
        <v>6370000</v>
      </c>
      <c r="F156" s="103">
        <f t="shared" si="6"/>
        <v>7005000</v>
      </c>
      <c r="G156" s="103">
        <f t="shared" si="8"/>
        <v>213938.93107459243</v>
      </c>
      <c r="H156" s="103">
        <f t="shared" si="7"/>
        <v>214000</v>
      </c>
    </row>
    <row r="157" spans="1:8" x14ac:dyDescent="0.3">
      <c r="A157" s="123">
        <v>150</v>
      </c>
      <c r="B157" s="118" t="s">
        <v>267</v>
      </c>
      <c r="C157" s="107">
        <v>0</v>
      </c>
      <c r="D157" s="103"/>
      <c r="E157" s="103"/>
      <c r="F157" s="103">
        <f t="shared" si="6"/>
        <v>0</v>
      </c>
      <c r="G157" s="103">
        <f t="shared" si="8"/>
        <v>0</v>
      </c>
      <c r="H157" s="103">
        <f t="shared" si="7"/>
        <v>0</v>
      </c>
    </row>
    <row r="158" spans="1:8" x14ac:dyDescent="0.3">
      <c r="A158" s="120">
        <v>151</v>
      </c>
      <c r="B158" s="118" t="s">
        <v>268</v>
      </c>
      <c r="C158" s="107">
        <v>100000</v>
      </c>
      <c r="D158" s="103">
        <v>530000</v>
      </c>
      <c r="E158" s="103">
        <v>2060000</v>
      </c>
      <c r="F158" s="103">
        <f t="shared" si="6"/>
        <v>2690000</v>
      </c>
      <c r="G158" s="103">
        <f t="shared" si="8"/>
        <v>82154.99280380494</v>
      </c>
      <c r="H158" s="103">
        <f t="shared" si="7"/>
        <v>82000</v>
      </c>
    </row>
    <row r="159" spans="1:8" x14ac:dyDescent="0.3">
      <c r="A159" s="120">
        <v>152</v>
      </c>
      <c r="B159" s="118" t="s">
        <v>269</v>
      </c>
      <c r="C159" s="107">
        <v>100000</v>
      </c>
      <c r="D159" s="103">
        <v>515000</v>
      </c>
      <c r="E159" s="103">
        <v>1005000</v>
      </c>
      <c r="F159" s="103">
        <f t="shared" si="6"/>
        <v>1620000</v>
      </c>
      <c r="G159" s="103">
        <f t="shared" si="8"/>
        <v>49476.241019391826</v>
      </c>
      <c r="H159" s="103">
        <f t="shared" si="7"/>
        <v>49500</v>
      </c>
    </row>
    <row r="160" spans="1:8" x14ac:dyDescent="0.3">
      <c r="A160" s="120">
        <v>153</v>
      </c>
      <c r="B160" s="118" t="s">
        <v>270</v>
      </c>
      <c r="C160" s="107">
        <v>100000</v>
      </c>
      <c r="D160" s="103">
        <v>150000</v>
      </c>
      <c r="E160" s="103">
        <v>213900</v>
      </c>
      <c r="F160" s="103">
        <f t="shared" si="6"/>
        <v>463900</v>
      </c>
      <c r="G160" s="103">
        <f t="shared" si="8"/>
        <v>14167.918647466586</v>
      </c>
      <c r="H160" s="103">
        <f t="shared" si="7"/>
        <v>14000</v>
      </c>
    </row>
    <row r="161" spans="1:12" x14ac:dyDescent="0.3">
      <c r="A161" s="121">
        <v>154</v>
      </c>
      <c r="B161" s="118" t="s">
        <v>271</v>
      </c>
      <c r="C161" s="107">
        <v>100000</v>
      </c>
      <c r="D161" s="103">
        <v>545000</v>
      </c>
      <c r="E161" s="103">
        <v>1302500</v>
      </c>
      <c r="F161" s="103">
        <f t="shared" si="6"/>
        <v>1947500</v>
      </c>
      <c r="G161" s="103">
        <f t="shared" si="8"/>
        <v>59478.382336583694</v>
      </c>
      <c r="H161" s="103">
        <f t="shared" si="7"/>
        <v>59500</v>
      </c>
    </row>
    <row r="162" spans="1:12" x14ac:dyDescent="0.3">
      <c r="A162" s="120">
        <v>155</v>
      </c>
      <c r="B162" s="118" t="s">
        <v>272</v>
      </c>
      <c r="C162" s="107">
        <v>100000</v>
      </c>
      <c r="D162" s="103">
        <v>530000</v>
      </c>
      <c r="E162" s="103">
        <v>85000</v>
      </c>
      <c r="F162" s="103">
        <f t="shared" si="6"/>
        <v>715000</v>
      </c>
      <c r="G162" s="103">
        <f t="shared" si="8"/>
        <v>21836.736005472318</v>
      </c>
      <c r="H162" s="103">
        <f t="shared" si="7"/>
        <v>22000</v>
      </c>
    </row>
    <row r="163" spans="1:12" x14ac:dyDescent="0.3">
      <c r="A163" s="123">
        <v>156</v>
      </c>
      <c r="B163" s="118" t="s">
        <v>273</v>
      </c>
      <c r="C163" s="107">
        <v>100000</v>
      </c>
      <c r="D163" s="103">
        <v>495000</v>
      </c>
      <c r="E163" s="103">
        <v>1680000</v>
      </c>
      <c r="F163" s="103">
        <f t="shared" si="6"/>
        <v>2275000</v>
      </c>
      <c r="G163" s="103">
        <f t="shared" si="8"/>
        <v>69480.523653775555</v>
      </c>
      <c r="H163" s="103">
        <f t="shared" si="7"/>
        <v>69500</v>
      </c>
    </row>
    <row r="164" spans="1:12" x14ac:dyDescent="0.3">
      <c r="A164" s="120">
        <v>157</v>
      </c>
      <c r="B164" s="118" t="s">
        <v>274</v>
      </c>
      <c r="C164" s="150">
        <v>100000</v>
      </c>
      <c r="D164" s="103">
        <v>30000</v>
      </c>
      <c r="E164" s="103">
        <v>34300</v>
      </c>
      <c r="F164" s="103">
        <f t="shared" si="6"/>
        <v>164300</v>
      </c>
      <c r="G164" s="103">
        <f t="shared" si="8"/>
        <v>5017.8681478309118</v>
      </c>
      <c r="H164" s="103">
        <f t="shared" si="7"/>
        <v>5000</v>
      </c>
    </row>
    <row r="165" spans="1:12" x14ac:dyDescent="0.3">
      <c r="A165" s="120">
        <v>158</v>
      </c>
      <c r="B165" s="118" t="s">
        <v>275</v>
      </c>
      <c r="C165" s="107">
        <v>100000</v>
      </c>
      <c r="D165" s="103">
        <v>495000</v>
      </c>
      <c r="E165" s="103">
        <v>7350000</v>
      </c>
      <c r="F165" s="103">
        <f t="shared" si="6"/>
        <v>7945000</v>
      </c>
      <c r="G165" s="103">
        <f t="shared" si="8"/>
        <v>242647.36722164694</v>
      </c>
      <c r="H165" s="103">
        <f t="shared" si="7"/>
        <v>242500</v>
      </c>
    </row>
    <row r="166" spans="1:12" x14ac:dyDescent="0.3">
      <c r="A166" s="120">
        <v>159</v>
      </c>
      <c r="B166" s="118" t="s">
        <v>276</v>
      </c>
      <c r="C166" s="107">
        <v>100000</v>
      </c>
      <c r="D166" s="103">
        <v>450000</v>
      </c>
      <c r="E166" s="103">
        <v>6840000</v>
      </c>
      <c r="F166" s="103">
        <f t="shared" si="6"/>
        <v>7390000</v>
      </c>
      <c r="G166" s="103">
        <f t="shared" si="8"/>
        <v>225697.17353907754</v>
      </c>
      <c r="H166" s="103">
        <f t="shared" si="7"/>
        <v>225500</v>
      </c>
    </row>
    <row r="167" spans="1:12" x14ac:dyDescent="0.3">
      <c r="A167" s="120">
        <v>160</v>
      </c>
      <c r="B167" s="118" t="s">
        <v>277</v>
      </c>
      <c r="C167" s="107">
        <v>100000</v>
      </c>
      <c r="D167" s="103">
        <v>60000</v>
      </c>
      <c r="E167" s="103">
        <v>47600</v>
      </c>
      <c r="F167" s="103">
        <f t="shared" si="6"/>
        <v>207600</v>
      </c>
      <c r="G167" s="103">
        <f t="shared" si="8"/>
        <v>6340.2886639665085</v>
      </c>
      <c r="H167" s="103">
        <f t="shared" si="7"/>
        <v>6500</v>
      </c>
    </row>
    <row r="168" spans="1:12" x14ac:dyDescent="0.3">
      <c r="A168" s="125">
        <v>161</v>
      </c>
      <c r="B168" s="118" t="s">
        <v>278</v>
      </c>
      <c r="C168" s="107">
        <v>0</v>
      </c>
      <c r="D168" s="103"/>
      <c r="E168" s="103"/>
      <c r="F168" s="103">
        <f t="shared" si="6"/>
        <v>0</v>
      </c>
      <c r="G168" s="103">
        <f t="shared" si="8"/>
        <v>0</v>
      </c>
      <c r="H168" s="103">
        <f t="shared" si="7"/>
        <v>0</v>
      </c>
    </row>
    <row r="169" spans="1:12" x14ac:dyDescent="0.3">
      <c r="A169" s="123">
        <v>162</v>
      </c>
      <c r="B169" s="118" t="s">
        <v>279</v>
      </c>
      <c r="C169" s="107">
        <v>100000</v>
      </c>
      <c r="D169" s="103">
        <v>495000</v>
      </c>
      <c r="E169" s="103">
        <v>1444000</v>
      </c>
      <c r="F169" s="103">
        <f t="shared" si="6"/>
        <v>2039000</v>
      </c>
      <c r="G169" s="103">
        <f t="shared" si="8"/>
        <v>62272.873727493788</v>
      </c>
      <c r="H169" s="103">
        <f t="shared" si="7"/>
        <v>62500</v>
      </c>
    </row>
    <row r="170" spans="1:12" x14ac:dyDescent="0.3">
      <c r="A170" s="123">
        <v>163</v>
      </c>
      <c r="B170" s="118" t="s">
        <v>280</v>
      </c>
      <c r="C170" s="107">
        <v>100000</v>
      </c>
      <c r="D170" s="103">
        <v>485000</v>
      </c>
      <c r="E170" s="103">
        <v>425000</v>
      </c>
      <c r="F170" s="103">
        <f t="shared" si="6"/>
        <v>1010000</v>
      </c>
      <c r="G170" s="103">
        <f t="shared" si="8"/>
        <v>30846.298413324534</v>
      </c>
      <c r="H170" s="103">
        <f t="shared" si="7"/>
        <v>31000</v>
      </c>
    </row>
    <row r="171" spans="1:12" x14ac:dyDescent="0.3">
      <c r="A171" s="123">
        <v>164</v>
      </c>
      <c r="B171" s="118" t="s">
        <v>281</v>
      </c>
      <c r="C171" s="107">
        <v>100000</v>
      </c>
      <c r="D171" s="103">
        <v>445000</v>
      </c>
      <c r="E171" s="103">
        <v>1160000</v>
      </c>
      <c r="F171" s="103">
        <f t="shared" si="6"/>
        <v>1705000</v>
      </c>
      <c r="G171" s="103">
        <f t="shared" si="8"/>
        <v>52072.216628433991</v>
      </c>
      <c r="H171" s="103">
        <f t="shared" si="7"/>
        <v>52000</v>
      </c>
    </row>
    <row r="172" spans="1:12" x14ac:dyDescent="0.3">
      <c r="A172" s="126">
        <v>165</v>
      </c>
      <c r="B172" s="118" t="s">
        <v>282</v>
      </c>
      <c r="C172" s="107">
        <v>100000</v>
      </c>
      <c r="D172" s="103">
        <v>455000</v>
      </c>
      <c r="E172" s="152">
        <v>8495000</v>
      </c>
      <c r="F172" s="103">
        <f t="shared" si="6"/>
        <v>9050000</v>
      </c>
      <c r="G172" s="103">
        <f t="shared" si="8"/>
        <v>276395.05013919505</v>
      </c>
      <c r="H172" s="103">
        <f t="shared" si="7"/>
        <v>276500</v>
      </c>
      <c r="J172" s="5">
        <v>3495000</v>
      </c>
      <c r="K172" s="5">
        <f>+C172+D172+J172</f>
        <v>4050000</v>
      </c>
      <c r="L172" s="5">
        <f>+K172*L6</f>
        <v>123690.60254847957</v>
      </c>
    </row>
    <row r="173" spans="1:12" x14ac:dyDescent="0.3">
      <c r="A173" s="123">
        <v>166</v>
      </c>
      <c r="B173" s="118" t="s">
        <v>283</v>
      </c>
      <c r="C173" s="107">
        <v>0</v>
      </c>
      <c r="D173" s="103"/>
      <c r="E173" s="103"/>
      <c r="F173" s="103">
        <f t="shared" si="6"/>
        <v>0</v>
      </c>
      <c r="G173" s="103">
        <f t="shared" si="8"/>
        <v>0</v>
      </c>
      <c r="H173" s="103">
        <f t="shared" si="7"/>
        <v>0</v>
      </c>
    </row>
    <row r="174" spans="1:12" x14ac:dyDescent="0.3">
      <c r="A174" s="120">
        <v>167</v>
      </c>
      <c r="B174" s="118" t="s">
        <v>284</v>
      </c>
      <c r="C174" s="107">
        <v>100000</v>
      </c>
      <c r="D174" s="103">
        <v>465000</v>
      </c>
      <c r="E174" s="103">
        <v>1375000</v>
      </c>
      <c r="F174" s="103">
        <f t="shared" si="6"/>
        <v>1940000</v>
      </c>
      <c r="G174" s="103">
        <f t="shared" si="8"/>
        <v>59249.325665197619</v>
      </c>
      <c r="H174" s="103">
        <f t="shared" si="7"/>
        <v>59000</v>
      </c>
    </row>
    <row r="175" spans="1:12" x14ac:dyDescent="0.3">
      <c r="A175" s="123">
        <v>168</v>
      </c>
      <c r="B175" s="118" t="s">
        <v>285</v>
      </c>
      <c r="C175" s="107">
        <v>100000</v>
      </c>
      <c r="D175" s="103">
        <v>460000</v>
      </c>
      <c r="E175" s="103">
        <v>10000000</v>
      </c>
      <c r="F175" s="103">
        <f t="shared" si="6"/>
        <v>10560000</v>
      </c>
      <c r="G175" s="103">
        <f t="shared" si="8"/>
        <v>322511.79331159114</v>
      </c>
      <c r="H175" s="103">
        <f t="shared" si="7"/>
        <v>322500</v>
      </c>
    </row>
    <row r="176" spans="1:12" x14ac:dyDescent="0.3">
      <c r="A176" s="120">
        <v>169</v>
      </c>
      <c r="B176" s="118" t="s">
        <v>286</v>
      </c>
      <c r="C176" s="107">
        <v>100000</v>
      </c>
      <c r="D176" s="103">
        <v>405000</v>
      </c>
      <c r="E176" s="103">
        <v>195000</v>
      </c>
      <c r="F176" s="103">
        <f t="shared" si="6"/>
        <v>700000</v>
      </c>
      <c r="G176" s="103">
        <f t="shared" si="8"/>
        <v>21378.622662700171</v>
      </c>
      <c r="H176" s="103">
        <f t="shared" si="7"/>
        <v>21500</v>
      </c>
    </row>
    <row r="177" spans="1:8" x14ac:dyDescent="0.3">
      <c r="A177" s="120">
        <v>170</v>
      </c>
      <c r="B177" s="118" t="s">
        <v>287</v>
      </c>
      <c r="C177" s="107">
        <v>0</v>
      </c>
      <c r="D177" s="103"/>
      <c r="E177" s="103"/>
      <c r="F177" s="103">
        <f t="shared" si="6"/>
        <v>0</v>
      </c>
      <c r="G177" s="103">
        <f t="shared" si="8"/>
        <v>0</v>
      </c>
      <c r="H177" s="103">
        <f t="shared" si="7"/>
        <v>0</v>
      </c>
    </row>
    <row r="178" spans="1:8" x14ac:dyDescent="0.3">
      <c r="A178" s="123">
        <v>171</v>
      </c>
      <c r="B178" s="118" t="s">
        <v>288</v>
      </c>
      <c r="C178" s="107">
        <v>100000</v>
      </c>
      <c r="D178" s="103">
        <v>460000</v>
      </c>
      <c r="E178" s="103">
        <v>620000</v>
      </c>
      <c r="F178" s="103">
        <f t="shared" si="6"/>
        <v>1180000</v>
      </c>
      <c r="G178" s="103">
        <f t="shared" si="8"/>
        <v>36038.249631408864</v>
      </c>
      <c r="H178" s="103">
        <f t="shared" si="7"/>
        <v>36000</v>
      </c>
    </row>
    <row r="179" spans="1:8" x14ac:dyDescent="0.3">
      <c r="A179" s="123">
        <v>172</v>
      </c>
      <c r="B179" s="118" t="s">
        <v>289</v>
      </c>
      <c r="C179" s="107">
        <v>100000</v>
      </c>
      <c r="D179" s="103">
        <v>460000</v>
      </c>
      <c r="E179" s="103">
        <v>741500</v>
      </c>
      <c r="F179" s="103">
        <f t="shared" si="6"/>
        <v>1301500</v>
      </c>
      <c r="G179" s="103">
        <f t="shared" si="8"/>
        <v>39748.967707863245</v>
      </c>
      <c r="H179" s="103">
        <f t="shared" si="7"/>
        <v>39500</v>
      </c>
    </row>
    <row r="180" spans="1:8" x14ac:dyDescent="0.3">
      <c r="A180" s="120">
        <v>173</v>
      </c>
      <c r="B180" s="118" t="s">
        <v>290</v>
      </c>
      <c r="C180" s="107">
        <v>100000</v>
      </c>
      <c r="D180" s="103">
        <v>460000</v>
      </c>
      <c r="E180" s="103">
        <v>666500</v>
      </c>
      <c r="F180" s="103">
        <f t="shared" si="6"/>
        <v>1226500</v>
      </c>
      <c r="G180" s="103">
        <f t="shared" si="8"/>
        <v>37458.400994002513</v>
      </c>
      <c r="H180" s="103">
        <f t="shared" si="7"/>
        <v>37500</v>
      </c>
    </row>
    <row r="181" spans="1:8" x14ac:dyDescent="0.3">
      <c r="A181" s="121">
        <v>174</v>
      </c>
      <c r="B181" s="118" t="s">
        <v>291</v>
      </c>
      <c r="C181" s="107">
        <v>100000</v>
      </c>
      <c r="D181" s="103">
        <v>445000</v>
      </c>
      <c r="E181" s="103">
        <v>690000</v>
      </c>
      <c r="F181" s="103">
        <f t="shared" si="6"/>
        <v>1235000</v>
      </c>
      <c r="G181" s="103">
        <f t="shared" si="8"/>
        <v>37717.998554906735</v>
      </c>
      <c r="H181" s="103">
        <f t="shared" si="7"/>
        <v>37500</v>
      </c>
    </row>
    <row r="182" spans="1:8" x14ac:dyDescent="0.3">
      <c r="A182" s="123">
        <v>175</v>
      </c>
      <c r="B182" s="118" t="s">
        <v>292</v>
      </c>
      <c r="C182" s="107">
        <v>100000</v>
      </c>
      <c r="D182" s="103">
        <v>500000</v>
      </c>
      <c r="E182" s="103">
        <v>1465000</v>
      </c>
      <c r="F182" s="103">
        <f t="shared" si="6"/>
        <v>2065000</v>
      </c>
      <c r="G182" s="103">
        <f t="shared" si="8"/>
        <v>63066.936854965505</v>
      </c>
      <c r="H182" s="103">
        <f t="shared" si="7"/>
        <v>63000</v>
      </c>
    </row>
    <row r="183" spans="1:8" x14ac:dyDescent="0.3">
      <c r="A183" s="120">
        <v>176</v>
      </c>
      <c r="B183" s="118" t="s">
        <v>293</v>
      </c>
      <c r="C183" s="107">
        <v>100000</v>
      </c>
      <c r="D183" s="103">
        <v>430000</v>
      </c>
      <c r="E183" s="103">
        <v>1192000</v>
      </c>
      <c r="F183" s="103">
        <f t="shared" si="6"/>
        <v>1722000</v>
      </c>
      <c r="G183" s="103">
        <f t="shared" si="8"/>
        <v>52591.41175024242</v>
      </c>
      <c r="H183" s="103">
        <f t="shared" si="7"/>
        <v>52500</v>
      </c>
    </row>
    <row r="184" spans="1:8" x14ac:dyDescent="0.3">
      <c r="A184" s="120">
        <v>177</v>
      </c>
      <c r="B184" s="118" t="s">
        <v>294</v>
      </c>
      <c r="C184" s="107">
        <v>100000</v>
      </c>
      <c r="D184" s="103">
        <v>435000</v>
      </c>
      <c r="E184" s="103">
        <v>1965000</v>
      </c>
      <c r="F184" s="103">
        <f t="shared" si="6"/>
        <v>2500000</v>
      </c>
      <c r="G184" s="103">
        <f t="shared" si="8"/>
        <v>76352.223795357757</v>
      </c>
      <c r="H184" s="103">
        <f t="shared" si="7"/>
        <v>76500</v>
      </c>
    </row>
    <row r="185" spans="1:8" x14ac:dyDescent="0.3">
      <c r="A185" s="123">
        <v>178</v>
      </c>
      <c r="B185" s="118" t="s">
        <v>295</v>
      </c>
      <c r="C185" s="107">
        <v>100000</v>
      </c>
      <c r="D185" s="103">
        <v>310000</v>
      </c>
      <c r="E185" s="103">
        <v>174000</v>
      </c>
      <c r="F185" s="103">
        <f t="shared" si="6"/>
        <v>584000</v>
      </c>
      <c r="G185" s="103">
        <f t="shared" si="8"/>
        <v>17835.879478595572</v>
      </c>
      <c r="H185" s="103">
        <f t="shared" si="7"/>
        <v>18000</v>
      </c>
    </row>
    <row r="186" spans="1:8" x14ac:dyDescent="0.3">
      <c r="A186" s="123">
        <v>179</v>
      </c>
      <c r="B186" s="118" t="s">
        <v>296</v>
      </c>
      <c r="C186" s="107">
        <v>100000</v>
      </c>
      <c r="D186" s="103">
        <v>355000</v>
      </c>
      <c r="E186" s="103">
        <v>4406500</v>
      </c>
      <c r="F186" s="103">
        <f t="shared" si="6"/>
        <v>4861500</v>
      </c>
      <c r="G186" s="103">
        <f t="shared" si="8"/>
        <v>148474.53439245268</v>
      </c>
      <c r="H186" s="103">
        <f t="shared" si="7"/>
        <v>148500</v>
      </c>
    </row>
    <row r="187" spans="1:8" x14ac:dyDescent="0.3">
      <c r="A187" s="123">
        <v>180</v>
      </c>
      <c r="B187" s="118" t="s">
        <v>297</v>
      </c>
      <c r="C187" s="107">
        <v>100000</v>
      </c>
      <c r="D187" s="103">
        <v>405000</v>
      </c>
      <c r="E187" s="103">
        <v>1020000</v>
      </c>
      <c r="F187" s="103">
        <f t="shared" si="6"/>
        <v>1525000</v>
      </c>
      <c r="G187" s="103">
        <f t="shared" si="8"/>
        <v>46574.856515168234</v>
      </c>
      <c r="H187" s="103">
        <f t="shared" si="7"/>
        <v>46500</v>
      </c>
    </row>
    <row r="188" spans="1:8" x14ac:dyDescent="0.3">
      <c r="A188" s="120">
        <v>181</v>
      </c>
      <c r="B188" s="118" t="s">
        <v>298</v>
      </c>
      <c r="C188" s="107">
        <v>100000</v>
      </c>
      <c r="D188" s="103">
        <v>355000</v>
      </c>
      <c r="E188" s="103">
        <v>1693500</v>
      </c>
      <c r="F188" s="103">
        <f t="shared" si="6"/>
        <v>2148500</v>
      </c>
      <c r="G188" s="103">
        <f t="shared" si="8"/>
        <v>65617.10112973045</v>
      </c>
      <c r="H188" s="103">
        <f t="shared" si="7"/>
        <v>65500</v>
      </c>
    </row>
    <row r="189" spans="1:8" x14ac:dyDescent="0.3">
      <c r="A189" s="120">
        <v>182</v>
      </c>
      <c r="B189" s="118" t="s">
        <v>299</v>
      </c>
      <c r="C189" s="107">
        <v>100000</v>
      </c>
      <c r="D189" s="103">
        <v>390000</v>
      </c>
      <c r="E189" s="103">
        <v>1415000</v>
      </c>
      <c r="F189" s="103">
        <f t="shared" si="6"/>
        <v>1905000</v>
      </c>
      <c r="G189" s="103">
        <f t="shared" si="8"/>
        <v>58180.394532062608</v>
      </c>
      <c r="H189" s="103">
        <f t="shared" si="7"/>
        <v>58000</v>
      </c>
    </row>
    <row r="190" spans="1:8" x14ac:dyDescent="0.3">
      <c r="A190" s="123">
        <v>183</v>
      </c>
      <c r="B190" s="118" t="s">
        <v>300</v>
      </c>
      <c r="C190" s="107">
        <v>100000</v>
      </c>
      <c r="D190" s="103">
        <v>410000</v>
      </c>
      <c r="E190" s="103">
        <v>538500</v>
      </c>
      <c r="F190" s="103">
        <f t="shared" si="6"/>
        <v>1048500</v>
      </c>
      <c r="G190" s="103">
        <f t="shared" si="8"/>
        <v>32022.122659773042</v>
      </c>
      <c r="H190" s="103">
        <f t="shared" si="7"/>
        <v>32000</v>
      </c>
    </row>
    <row r="191" spans="1:8" x14ac:dyDescent="0.3">
      <c r="A191" s="120">
        <v>184</v>
      </c>
      <c r="B191" s="118" t="s">
        <v>301</v>
      </c>
      <c r="C191" s="107">
        <v>100000</v>
      </c>
      <c r="D191" s="103">
        <v>375000</v>
      </c>
      <c r="E191" s="103">
        <v>735000</v>
      </c>
      <c r="F191" s="103">
        <f t="shared" si="6"/>
        <v>1210000</v>
      </c>
      <c r="G191" s="103">
        <f t="shared" si="8"/>
        <v>36954.476316953158</v>
      </c>
      <c r="H191" s="103">
        <f t="shared" si="7"/>
        <v>37000</v>
      </c>
    </row>
    <row r="192" spans="1:8" x14ac:dyDescent="0.3">
      <c r="A192" s="123">
        <v>185</v>
      </c>
      <c r="B192" s="118" t="s">
        <v>302</v>
      </c>
      <c r="C192" s="107">
        <v>100000</v>
      </c>
      <c r="D192" s="103">
        <v>400000</v>
      </c>
      <c r="E192" s="103">
        <v>500000</v>
      </c>
      <c r="F192" s="103">
        <f t="shared" si="6"/>
        <v>1000000</v>
      </c>
      <c r="G192" s="103">
        <f t="shared" si="8"/>
        <v>30540.889518143103</v>
      </c>
      <c r="H192" s="103">
        <f t="shared" si="7"/>
        <v>30500</v>
      </c>
    </row>
    <row r="193" spans="1:12" x14ac:dyDescent="0.3">
      <c r="A193" s="123">
        <v>186</v>
      </c>
      <c r="B193" s="118" t="s">
        <v>303</v>
      </c>
      <c r="C193" s="107">
        <v>100000</v>
      </c>
      <c r="D193" s="103">
        <v>395000</v>
      </c>
      <c r="E193" s="103">
        <v>390000</v>
      </c>
      <c r="F193" s="103">
        <f t="shared" si="6"/>
        <v>885000</v>
      </c>
      <c r="G193" s="103">
        <f t="shared" si="8"/>
        <v>27028.687223556644</v>
      </c>
      <c r="H193" s="103">
        <f t="shared" si="7"/>
        <v>27000</v>
      </c>
    </row>
    <row r="194" spans="1:12" x14ac:dyDescent="0.3">
      <c r="A194" s="123">
        <v>187</v>
      </c>
      <c r="B194" s="118" t="s">
        <v>304</v>
      </c>
      <c r="C194" s="107">
        <v>0</v>
      </c>
      <c r="D194" s="103"/>
      <c r="E194" s="103"/>
      <c r="F194" s="103">
        <f t="shared" si="6"/>
        <v>0</v>
      </c>
      <c r="G194" s="103">
        <f t="shared" si="8"/>
        <v>0</v>
      </c>
      <c r="H194" s="103">
        <f t="shared" si="7"/>
        <v>0</v>
      </c>
    </row>
    <row r="195" spans="1:12" x14ac:dyDescent="0.3">
      <c r="A195" s="123">
        <v>188</v>
      </c>
      <c r="B195" s="118" t="s">
        <v>305</v>
      </c>
      <c r="C195" s="107">
        <v>100000</v>
      </c>
      <c r="D195" s="103">
        <v>410000</v>
      </c>
      <c r="E195" s="103">
        <v>3124500</v>
      </c>
      <c r="F195" s="103">
        <f t="shared" si="6"/>
        <v>3634500</v>
      </c>
      <c r="G195" s="103">
        <f t="shared" si="8"/>
        <v>111000.8629536911</v>
      </c>
      <c r="H195" s="103">
        <f t="shared" si="7"/>
        <v>111000</v>
      </c>
    </row>
    <row r="196" spans="1:12" x14ac:dyDescent="0.3">
      <c r="A196" s="123">
        <v>189</v>
      </c>
      <c r="B196" s="118" t="s">
        <v>306</v>
      </c>
      <c r="C196" s="107">
        <v>100000</v>
      </c>
      <c r="D196" s="103">
        <v>380000</v>
      </c>
      <c r="E196" s="103">
        <v>360000</v>
      </c>
      <c r="F196" s="103">
        <f t="shared" si="6"/>
        <v>840000</v>
      </c>
      <c r="G196" s="103">
        <f t="shared" si="8"/>
        <v>25654.347195240207</v>
      </c>
      <c r="H196" s="103">
        <f t="shared" si="7"/>
        <v>25500</v>
      </c>
    </row>
    <row r="197" spans="1:12" x14ac:dyDescent="0.3">
      <c r="A197" s="120">
        <v>190</v>
      </c>
      <c r="B197" s="118" t="s">
        <v>307</v>
      </c>
      <c r="C197" s="107">
        <v>100000</v>
      </c>
      <c r="D197" s="103">
        <v>250000</v>
      </c>
      <c r="E197" s="103">
        <v>520000</v>
      </c>
      <c r="F197" s="103">
        <f t="shared" si="6"/>
        <v>870000</v>
      </c>
      <c r="G197" s="103">
        <f t="shared" si="8"/>
        <v>26570.573880784501</v>
      </c>
      <c r="H197" s="103">
        <f t="shared" si="7"/>
        <v>26500</v>
      </c>
    </row>
    <row r="198" spans="1:12" x14ac:dyDescent="0.3">
      <c r="A198" s="125">
        <v>191</v>
      </c>
      <c r="B198" s="118" t="s">
        <v>308</v>
      </c>
      <c r="C198" s="107">
        <v>100000</v>
      </c>
      <c r="D198" s="103">
        <v>355000</v>
      </c>
      <c r="E198" s="103">
        <v>815000</v>
      </c>
      <c r="F198" s="103">
        <f t="shared" si="6"/>
        <v>1270000</v>
      </c>
      <c r="G198" s="103">
        <f t="shared" si="8"/>
        <v>38786.929688041739</v>
      </c>
      <c r="H198" s="103">
        <f t="shared" si="7"/>
        <v>39000</v>
      </c>
    </row>
    <row r="199" spans="1:12" x14ac:dyDescent="0.3">
      <c r="A199" s="124">
        <v>192</v>
      </c>
      <c r="B199" s="118" t="s">
        <v>309</v>
      </c>
      <c r="C199" s="107">
        <v>100000</v>
      </c>
      <c r="D199" s="103">
        <v>375000</v>
      </c>
      <c r="E199" s="103">
        <v>205000</v>
      </c>
      <c r="F199" s="103">
        <f t="shared" si="6"/>
        <v>680000</v>
      </c>
      <c r="G199" s="103">
        <f t="shared" si="8"/>
        <v>20767.80487233731</v>
      </c>
      <c r="H199" s="103">
        <f t="shared" si="7"/>
        <v>21000</v>
      </c>
    </row>
    <row r="200" spans="1:12" s="128" customFormat="1" x14ac:dyDescent="0.3">
      <c r="A200" s="127">
        <v>193</v>
      </c>
      <c r="B200" s="118" t="s">
        <v>310</v>
      </c>
      <c r="C200" s="107">
        <v>100000</v>
      </c>
      <c r="D200" s="103">
        <v>375000</v>
      </c>
      <c r="E200" s="103">
        <v>3468500</v>
      </c>
      <c r="F200" s="103">
        <f t="shared" si="6"/>
        <v>3943500</v>
      </c>
      <c r="G200" s="103">
        <f t="shared" si="8"/>
        <v>120437.99781479733</v>
      </c>
      <c r="H200" s="103">
        <f t="shared" si="7"/>
        <v>120500</v>
      </c>
      <c r="K200" s="129"/>
      <c r="L200" s="129"/>
    </row>
    <row r="201" spans="1:12" x14ac:dyDescent="0.3">
      <c r="A201" s="120">
        <v>194</v>
      </c>
      <c r="B201" s="118" t="s">
        <v>311</v>
      </c>
      <c r="C201" s="107">
        <v>100000</v>
      </c>
      <c r="D201" s="103">
        <v>355000</v>
      </c>
      <c r="E201" s="103">
        <v>500000</v>
      </c>
      <c r="F201" s="103">
        <f t="shared" ref="F201:F264" si="9">+C201+D201+E201</f>
        <v>955000</v>
      </c>
      <c r="G201" s="103">
        <f t="shared" si="8"/>
        <v>29166.549489826662</v>
      </c>
      <c r="H201" s="103">
        <f t="shared" ref="H201:H264" si="10">MROUND(G201,500)</f>
        <v>29000</v>
      </c>
    </row>
    <row r="202" spans="1:12" x14ac:dyDescent="0.3">
      <c r="A202" s="120">
        <v>195</v>
      </c>
      <c r="B202" s="118" t="s">
        <v>312</v>
      </c>
      <c r="C202" s="107">
        <v>100000</v>
      </c>
      <c r="D202" s="103">
        <v>360000</v>
      </c>
      <c r="E202" s="103">
        <v>1090000</v>
      </c>
      <c r="F202" s="103">
        <f t="shared" si="9"/>
        <v>1550000</v>
      </c>
      <c r="G202" s="103">
        <f t="shared" ref="G202:G265" si="11">+F202*$L$6</f>
        <v>47338.378753121811</v>
      </c>
      <c r="H202" s="103">
        <f t="shared" si="10"/>
        <v>47500</v>
      </c>
    </row>
    <row r="203" spans="1:12" x14ac:dyDescent="0.3">
      <c r="A203" s="120">
        <v>196</v>
      </c>
      <c r="B203" s="118" t="s">
        <v>313</v>
      </c>
      <c r="C203" s="107">
        <v>100000</v>
      </c>
      <c r="D203" s="103">
        <v>360000</v>
      </c>
      <c r="E203" s="103">
        <v>625000</v>
      </c>
      <c r="F203" s="103">
        <f t="shared" si="9"/>
        <v>1085000</v>
      </c>
      <c r="G203" s="103">
        <f t="shared" si="11"/>
        <v>33136.865127185265</v>
      </c>
      <c r="H203" s="103">
        <f t="shared" si="10"/>
        <v>33000</v>
      </c>
    </row>
    <row r="204" spans="1:12" x14ac:dyDescent="0.3">
      <c r="A204" s="120">
        <v>197</v>
      </c>
      <c r="B204" s="118" t="s">
        <v>314</v>
      </c>
      <c r="C204" s="107">
        <v>100000</v>
      </c>
      <c r="D204" s="103">
        <v>355000</v>
      </c>
      <c r="E204" s="103">
        <v>740000</v>
      </c>
      <c r="F204" s="103">
        <f t="shared" si="9"/>
        <v>1195000</v>
      </c>
      <c r="G204" s="103">
        <f t="shared" si="11"/>
        <v>36496.362974181007</v>
      </c>
      <c r="H204" s="103">
        <f t="shared" si="10"/>
        <v>36500</v>
      </c>
    </row>
    <row r="205" spans="1:12" x14ac:dyDescent="0.3">
      <c r="A205" s="120">
        <v>198</v>
      </c>
      <c r="B205" s="118" t="s">
        <v>315</v>
      </c>
      <c r="C205" s="107">
        <v>100000</v>
      </c>
      <c r="D205" s="103">
        <v>345000</v>
      </c>
      <c r="E205" s="103">
        <v>820000</v>
      </c>
      <c r="F205" s="103">
        <f t="shared" si="9"/>
        <v>1265000</v>
      </c>
      <c r="G205" s="103">
        <f t="shared" si="11"/>
        <v>38634.225240451022</v>
      </c>
      <c r="H205" s="103">
        <f t="shared" si="10"/>
        <v>38500</v>
      </c>
    </row>
    <row r="206" spans="1:12" x14ac:dyDescent="0.3">
      <c r="A206" s="120">
        <v>199</v>
      </c>
      <c r="B206" s="118" t="s">
        <v>316</v>
      </c>
      <c r="C206" s="107">
        <v>100000</v>
      </c>
      <c r="D206" s="103">
        <v>330000</v>
      </c>
      <c r="E206" s="103">
        <v>850000</v>
      </c>
      <c r="F206" s="103">
        <f t="shared" si="9"/>
        <v>1280000</v>
      </c>
      <c r="G206" s="103">
        <f t="shared" si="11"/>
        <v>39092.338583223172</v>
      </c>
      <c r="H206" s="103">
        <f t="shared" si="10"/>
        <v>39000</v>
      </c>
    </row>
    <row r="207" spans="1:12" x14ac:dyDescent="0.3">
      <c r="A207" s="120">
        <v>200</v>
      </c>
      <c r="B207" s="118" t="s">
        <v>317</v>
      </c>
      <c r="C207" s="107">
        <v>100000</v>
      </c>
      <c r="D207" s="103">
        <v>335000</v>
      </c>
      <c r="E207" s="103">
        <v>882000</v>
      </c>
      <c r="F207" s="103">
        <f t="shared" si="9"/>
        <v>1317000</v>
      </c>
      <c r="G207" s="103">
        <f t="shared" si="11"/>
        <v>40222.351495394469</v>
      </c>
      <c r="H207" s="103">
        <f t="shared" si="10"/>
        <v>40000</v>
      </c>
    </row>
    <row r="208" spans="1:12" x14ac:dyDescent="0.3">
      <c r="A208" s="120">
        <v>201</v>
      </c>
      <c r="B208" s="118" t="s">
        <v>318</v>
      </c>
      <c r="C208" s="107">
        <v>100000</v>
      </c>
      <c r="D208" s="103">
        <v>320000</v>
      </c>
      <c r="E208" s="103">
        <v>1800000</v>
      </c>
      <c r="F208" s="103">
        <f t="shared" si="9"/>
        <v>2220000</v>
      </c>
      <c r="G208" s="103">
        <f t="shared" si="11"/>
        <v>67800.774730277684</v>
      </c>
      <c r="H208" s="103">
        <f t="shared" si="10"/>
        <v>68000</v>
      </c>
    </row>
    <row r="209" spans="1:8" x14ac:dyDescent="0.3">
      <c r="A209" s="123">
        <v>202</v>
      </c>
      <c r="B209" s="118" t="s">
        <v>319</v>
      </c>
      <c r="C209" s="107">
        <v>0</v>
      </c>
      <c r="D209" s="103"/>
      <c r="E209" s="103"/>
      <c r="F209" s="103">
        <f t="shared" si="9"/>
        <v>0</v>
      </c>
      <c r="G209" s="103">
        <f t="shared" si="11"/>
        <v>0</v>
      </c>
      <c r="H209" s="103">
        <f t="shared" si="10"/>
        <v>0</v>
      </c>
    </row>
    <row r="210" spans="1:8" x14ac:dyDescent="0.3">
      <c r="A210" s="123">
        <v>203</v>
      </c>
      <c r="B210" s="118" t="s">
        <v>320</v>
      </c>
      <c r="C210" s="107">
        <v>100000</v>
      </c>
      <c r="D210" s="103">
        <v>320000</v>
      </c>
      <c r="E210" s="103">
        <v>335000</v>
      </c>
      <c r="F210" s="103">
        <f t="shared" si="9"/>
        <v>755000</v>
      </c>
      <c r="G210" s="103">
        <f t="shared" si="11"/>
        <v>23058.371586198042</v>
      </c>
      <c r="H210" s="103">
        <f t="shared" si="10"/>
        <v>23000</v>
      </c>
    </row>
    <row r="211" spans="1:8" x14ac:dyDescent="0.3">
      <c r="A211" s="123">
        <v>204</v>
      </c>
      <c r="B211" s="118" t="s">
        <v>321</v>
      </c>
      <c r="C211" s="107">
        <v>0</v>
      </c>
      <c r="D211" s="103"/>
      <c r="E211" s="103"/>
      <c r="F211" s="103">
        <f t="shared" si="9"/>
        <v>0</v>
      </c>
      <c r="G211" s="103">
        <f t="shared" si="11"/>
        <v>0</v>
      </c>
      <c r="H211" s="103">
        <f t="shared" si="10"/>
        <v>0</v>
      </c>
    </row>
    <row r="212" spans="1:8" x14ac:dyDescent="0.3">
      <c r="A212" s="120">
        <v>205</v>
      </c>
      <c r="B212" s="118" t="s">
        <v>322</v>
      </c>
      <c r="C212" s="107">
        <v>100000</v>
      </c>
      <c r="D212" s="103">
        <v>320000</v>
      </c>
      <c r="E212" s="103">
        <v>818000</v>
      </c>
      <c r="F212" s="103">
        <f t="shared" si="9"/>
        <v>1238000</v>
      </c>
      <c r="G212" s="103">
        <f t="shared" si="11"/>
        <v>37809.621223461159</v>
      </c>
      <c r="H212" s="103">
        <f t="shared" si="10"/>
        <v>38000</v>
      </c>
    </row>
    <row r="213" spans="1:8" x14ac:dyDescent="0.3">
      <c r="A213" s="120">
        <v>206</v>
      </c>
      <c r="B213" s="118" t="s">
        <v>323</v>
      </c>
      <c r="C213" s="107">
        <v>100000</v>
      </c>
      <c r="D213" s="103">
        <v>270000</v>
      </c>
      <c r="E213" s="103">
        <v>202000</v>
      </c>
      <c r="F213" s="103">
        <f t="shared" si="9"/>
        <v>572000</v>
      </c>
      <c r="G213" s="103">
        <f t="shared" si="11"/>
        <v>17469.388804377853</v>
      </c>
      <c r="H213" s="103">
        <f t="shared" si="10"/>
        <v>17500</v>
      </c>
    </row>
    <row r="214" spans="1:8" x14ac:dyDescent="0.3">
      <c r="A214" s="123">
        <v>207</v>
      </c>
      <c r="B214" s="118" t="s">
        <v>324</v>
      </c>
      <c r="C214" s="107">
        <v>100000</v>
      </c>
      <c r="D214" s="103">
        <v>315000</v>
      </c>
      <c r="E214" s="103">
        <v>1755000</v>
      </c>
      <c r="F214" s="103">
        <f t="shared" si="9"/>
        <v>2170000</v>
      </c>
      <c r="G214" s="103">
        <f t="shared" si="11"/>
        <v>66273.73025437053</v>
      </c>
      <c r="H214" s="103">
        <f t="shared" si="10"/>
        <v>66500</v>
      </c>
    </row>
    <row r="215" spans="1:8" x14ac:dyDescent="0.3">
      <c r="A215" s="123">
        <v>208</v>
      </c>
      <c r="B215" s="118" t="s">
        <v>325</v>
      </c>
      <c r="C215" s="107">
        <v>100000</v>
      </c>
      <c r="D215" s="103">
        <v>300000</v>
      </c>
      <c r="E215" s="103">
        <v>870000</v>
      </c>
      <c r="F215" s="103">
        <f t="shared" si="9"/>
        <v>1270000</v>
      </c>
      <c r="G215" s="103">
        <f t="shared" si="11"/>
        <v>38786.929688041739</v>
      </c>
      <c r="H215" s="103">
        <f t="shared" si="10"/>
        <v>39000</v>
      </c>
    </row>
    <row r="216" spans="1:8" x14ac:dyDescent="0.3">
      <c r="A216" s="123">
        <v>209</v>
      </c>
      <c r="B216" s="118" t="s">
        <v>326</v>
      </c>
      <c r="C216" s="107">
        <v>100000</v>
      </c>
      <c r="D216" s="103">
        <v>310000</v>
      </c>
      <c r="E216" s="103">
        <v>5985000</v>
      </c>
      <c r="F216" s="103">
        <f t="shared" si="9"/>
        <v>6395000</v>
      </c>
      <c r="G216" s="103">
        <f t="shared" si="11"/>
        <v>195308.98846852515</v>
      </c>
      <c r="H216" s="103">
        <f t="shared" si="10"/>
        <v>195500</v>
      </c>
    </row>
    <row r="217" spans="1:8" x14ac:dyDescent="0.3">
      <c r="A217" s="123">
        <v>210</v>
      </c>
      <c r="B217" s="118" t="s">
        <v>327</v>
      </c>
      <c r="C217" s="107">
        <v>100000</v>
      </c>
      <c r="D217" s="103">
        <v>150000</v>
      </c>
      <c r="E217" s="103">
        <v>1502500</v>
      </c>
      <c r="F217" s="103">
        <f t="shared" si="9"/>
        <v>1752500</v>
      </c>
      <c r="G217" s="103">
        <f t="shared" si="11"/>
        <v>53522.908880545787</v>
      </c>
      <c r="H217" s="103">
        <f t="shared" si="10"/>
        <v>53500</v>
      </c>
    </row>
    <row r="218" spans="1:8" x14ac:dyDescent="0.3">
      <c r="A218" s="123">
        <v>211</v>
      </c>
      <c r="B218" s="118" t="s">
        <v>328</v>
      </c>
      <c r="C218" s="107">
        <v>100000</v>
      </c>
      <c r="D218" s="103">
        <v>305000</v>
      </c>
      <c r="E218" s="103">
        <v>3838500</v>
      </c>
      <c r="F218" s="103">
        <f t="shared" si="9"/>
        <v>4243500</v>
      </c>
      <c r="G218" s="103">
        <f t="shared" si="11"/>
        <v>129600.26467024026</v>
      </c>
      <c r="H218" s="103">
        <f t="shared" si="10"/>
        <v>129500</v>
      </c>
    </row>
    <row r="219" spans="1:8" x14ac:dyDescent="0.3">
      <c r="A219" s="123">
        <v>212</v>
      </c>
      <c r="B219" s="118" t="s">
        <v>329</v>
      </c>
      <c r="C219" s="107">
        <v>0</v>
      </c>
      <c r="D219" s="103"/>
      <c r="E219" s="103"/>
      <c r="F219" s="103">
        <f t="shared" si="9"/>
        <v>0</v>
      </c>
      <c r="G219" s="103">
        <f t="shared" si="11"/>
        <v>0</v>
      </c>
      <c r="H219" s="103">
        <f t="shared" si="10"/>
        <v>0</v>
      </c>
    </row>
    <row r="220" spans="1:8" x14ac:dyDescent="0.3">
      <c r="A220" s="123">
        <v>213</v>
      </c>
      <c r="B220" s="118" t="s">
        <v>330</v>
      </c>
      <c r="C220" s="107">
        <v>100000</v>
      </c>
      <c r="D220" s="103">
        <v>305000</v>
      </c>
      <c r="E220" s="103">
        <v>645500</v>
      </c>
      <c r="F220" s="103">
        <f t="shared" si="9"/>
        <v>1050500</v>
      </c>
      <c r="G220" s="103">
        <f t="shared" si="11"/>
        <v>32083.204438809331</v>
      </c>
      <c r="H220" s="103">
        <f t="shared" si="10"/>
        <v>32000</v>
      </c>
    </row>
    <row r="221" spans="1:8" x14ac:dyDescent="0.3">
      <c r="A221" s="123">
        <v>214</v>
      </c>
      <c r="B221" s="118" t="s">
        <v>331</v>
      </c>
      <c r="C221" s="107">
        <v>100000</v>
      </c>
      <c r="D221" s="103">
        <v>125000</v>
      </c>
      <c r="E221" s="103">
        <v>2500</v>
      </c>
      <c r="F221" s="103">
        <f t="shared" si="9"/>
        <v>227500</v>
      </c>
      <c r="G221" s="103">
        <f t="shared" si="11"/>
        <v>6948.0523653775563</v>
      </c>
      <c r="H221" s="103">
        <f t="shared" si="10"/>
        <v>7000</v>
      </c>
    </row>
    <row r="222" spans="1:8" x14ac:dyDescent="0.3">
      <c r="A222" s="123">
        <v>215</v>
      </c>
      <c r="B222" s="118" t="s">
        <v>332</v>
      </c>
      <c r="C222" s="150">
        <v>100000</v>
      </c>
      <c r="D222" s="103">
        <v>15000</v>
      </c>
      <c r="E222" s="103">
        <v>13000</v>
      </c>
      <c r="F222" s="103">
        <f t="shared" si="9"/>
        <v>128000</v>
      </c>
      <c r="G222" s="103">
        <f t="shared" si="11"/>
        <v>3909.2338583223172</v>
      </c>
      <c r="H222" s="103">
        <f t="shared" si="10"/>
        <v>4000</v>
      </c>
    </row>
    <row r="223" spans="1:8" x14ac:dyDescent="0.3">
      <c r="A223" s="123">
        <v>216</v>
      </c>
      <c r="B223" s="118" t="s">
        <v>333</v>
      </c>
      <c r="C223" s="107">
        <v>100000</v>
      </c>
      <c r="D223" s="103">
        <v>300000</v>
      </c>
      <c r="E223" s="103">
        <v>960000</v>
      </c>
      <c r="F223" s="103">
        <f t="shared" si="9"/>
        <v>1360000</v>
      </c>
      <c r="G223" s="103">
        <f t="shared" si="11"/>
        <v>41535.609744674621</v>
      </c>
      <c r="H223" s="103">
        <f t="shared" si="10"/>
        <v>41500</v>
      </c>
    </row>
    <row r="224" spans="1:8" x14ac:dyDescent="0.3">
      <c r="A224" s="123">
        <v>217</v>
      </c>
      <c r="B224" s="118" t="s">
        <v>334</v>
      </c>
      <c r="C224" s="107">
        <v>100000</v>
      </c>
      <c r="D224" s="103">
        <v>205000</v>
      </c>
      <c r="E224" s="103">
        <v>1052500</v>
      </c>
      <c r="F224" s="103">
        <f t="shared" si="9"/>
        <v>1357500</v>
      </c>
      <c r="G224" s="103">
        <f t="shared" si="11"/>
        <v>41459.257520879262</v>
      </c>
      <c r="H224" s="103">
        <f t="shared" si="10"/>
        <v>41500</v>
      </c>
    </row>
    <row r="225" spans="1:8" x14ac:dyDescent="0.3">
      <c r="A225" s="123">
        <v>218</v>
      </c>
      <c r="B225" s="118" t="s">
        <v>335</v>
      </c>
      <c r="C225" s="107">
        <v>100000</v>
      </c>
      <c r="D225" s="103">
        <v>365000</v>
      </c>
      <c r="E225" s="103">
        <v>950000</v>
      </c>
      <c r="F225" s="103">
        <f t="shared" si="9"/>
        <v>1415000</v>
      </c>
      <c r="G225" s="103">
        <f t="shared" si="11"/>
        <v>43215.358668172492</v>
      </c>
      <c r="H225" s="103">
        <f t="shared" si="10"/>
        <v>43000</v>
      </c>
    </row>
    <row r="226" spans="1:8" x14ac:dyDescent="0.3">
      <c r="A226" s="123">
        <v>219</v>
      </c>
      <c r="B226" s="118" t="s">
        <v>336</v>
      </c>
      <c r="C226" s="107">
        <v>100000</v>
      </c>
      <c r="D226" s="103">
        <v>240000</v>
      </c>
      <c r="E226" s="103">
        <v>122500</v>
      </c>
      <c r="F226" s="103">
        <f t="shared" si="9"/>
        <v>462500</v>
      </c>
      <c r="G226" s="103">
        <f t="shared" si="11"/>
        <v>14125.161402141184</v>
      </c>
      <c r="H226" s="103">
        <f t="shared" si="10"/>
        <v>14000</v>
      </c>
    </row>
    <row r="227" spans="1:8" x14ac:dyDescent="0.3">
      <c r="A227" s="123">
        <v>220</v>
      </c>
      <c r="B227" s="118" t="s">
        <v>337</v>
      </c>
      <c r="C227" s="107">
        <v>100000</v>
      </c>
      <c r="D227" s="103">
        <v>285000</v>
      </c>
      <c r="E227" s="103">
        <v>370000</v>
      </c>
      <c r="F227" s="103">
        <f t="shared" si="9"/>
        <v>755000</v>
      </c>
      <c r="G227" s="103">
        <f t="shared" si="11"/>
        <v>23058.371586198042</v>
      </c>
      <c r="H227" s="103">
        <f t="shared" si="10"/>
        <v>23000</v>
      </c>
    </row>
    <row r="228" spans="1:8" x14ac:dyDescent="0.3">
      <c r="A228" s="123">
        <v>221</v>
      </c>
      <c r="B228" s="118" t="s">
        <v>338</v>
      </c>
      <c r="C228" s="107">
        <v>100000</v>
      </c>
      <c r="D228" s="103">
        <v>300000</v>
      </c>
      <c r="E228" s="103">
        <v>455000</v>
      </c>
      <c r="F228" s="103">
        <f t="shared" si="9"/>
        <v>855000</v>
      </c>
      <c r="G228" s="103">
        <f t="shared" si="11"/>
        <v>26112.460538012354</v>
      </c>
      <c r="H228" s="103">
        <f t="shared" si="10"/>
        <v>26000</v>
      </c>
    </row>
    <row r="229" spans="1:8" x14ac:dyDescent="0.3">
      <c r="A229" s="123">
        <v>222</v>
      </c>
      <c r="B229" s="118" t="s">
        <v>339</v>
      </c>
      <c r="C229" s="107">
        <v>100000</v>
      </c>
      <c r="D229" s="103">
        <v>205000</v>
      </c>
      <c r="E229" s="103">
        <v>503000</v>
      </c>
      <c r="F229" s="103">
        <f t="shared" si="9"/>
        <v>808000</v>
      </c>
      <c r="G229" s="103">
        <f t="shared" si="11"/>
        <v>24677.038730659628</v>
      </c>
      <c r="H229" s="103">
        <f t="shared" si="10"/>
        <v>24500</v>
      </c>
    </row>
    <row r="230" spans="1:8" x14ac:dyDescent="0.3">
      <c r="A230" s="123">
        <v>223</v>
      </c>
      <c r="B230" s="118" t="s">
        <v>340</v>
      </c>
      <c r="C230" s="107">
        <v>100000</v>
      </c>
      <c r="D230" s="103">
        <v>195000</v>
      </c>
      <c r="E230" s="103">
        <v>1335000</v>
      </c>
      <c r="F230" s="103">
        <f t="shared" si="9"/>
        <v>1630000</v>
      </c>
      <c r="G230" s="103">
        <f t="shared" si="11"/>
        <v>49781.64991457326</v>
      </c>
      <c r="H230" s="103">
        <f t="shared" si="10"/>
        <v>50000</v>
      </c>
    </row>
    <row r="231" spans="1:8" x14ac:dyDescent="0.3">
      <c r="A231" s="130">
        <v>224</v>
      </c>
      <c r="B231" s="118" t="s">
        <v>341</v>
      </c>
      <c r="C231" s="107">
        <v>100000</v>
      </c>
      <c r="D231" s="103">
        <v>140000</v>
      </c>
      <c r="E231" s="103">
        <v>84500</v>
      </c>
      <c r="F231" s="103">
        <f t="shared" si="9"/>
        <v>324500</v>
      </c>
      <c r="G231" s="103">
        <f t="shared" si="11"/>
        <v>9910.5186486374369</v>
      </c>
      <c r="H231" s="103">
        <f t="shared" si="10"/>
        <v>10000</v>
      </c>
    </row>
    <row r="232" spans="1:8" x14ac:dyDescent="0.3">
      <c r="A232" s="120">
        <v>225</v>
      </c>
      <c r="B232" s="118" t="s">
        <v>342</v>
      </c>
      <c r="C232" s="107">
        <v>100000</v>
      </c>
      <c r="D232" s="103">
        <v>185000</v>
      </c>
      <c r="E232" s="103">
        <v>530000</v>
      </c>
      <c r="F232" s="103">
        <f t="shared" si="9"/>
        <v>815000</v>
      </c>
      <c r="G232" s="103">
        <f t="shared" si="11"/>
        <v>24890.82495728663</v>
      </c>
      <c r="H232" s="103">
        <f t="shared" si="10"/>
        <v>25000</v>
      </c>
    </row>
    <row r="233" spans="1:8" x14ac:dyDescent="0.3">
      <c r="A233" s="120">
        <v>226</v>
      </c>
      <c r="B233" s="118" t="s">
        <v>343</v>
      </c>
      <c r="C233" s="107">
        <v>100000</v>
      </c>
      <c r="D233" s="103">
        <v>255000</v>
      </c>
      <c r="E233" s="103">
        <v>145000</v>
      </c>
      <c r="F233" s="103">
        <f t="shared" si="9"/>
        <v>500000</v>
      </c>
      <c r="G233" s="103">
        <f t="shared" si="11"/>
        <v>15270.444759071552</v>
      </c>
      <c r="H233" s="103">
        <f t="shared" si="10"/>
        <v>15500</v>
      </c>
    </row>
    <row r="234" spans="1:8" x14ac:dyDescent="0.3">
      <c r="A234" s="120">
        <v>227</v>
      </c>
      <c r="B234" s="118" t="s">
        <v>344</v>
      </c>
      <c r="C234" s="107">
        <v>100000</v>
      </c>
      <c r="D234" s="103">
        <v>350000</v>
      </c>
      <c r="E234" s="103">
        <v>1145000</v>
      </c>
      <c r="F234" s="103">
        <f t="shared" si="9"/>
        <v>1595000</v>
      </c>
      <c r="G234" s="103">
        <f t="shared" si="11"/>
        <v>48712.718781438249</v>
      </c>
      <c r="H234" s="103">
        <f t="shared" si="10"/>
        <v>48500</v>
      </c>
    </row>
    <row r="235" spans="1:8" x14ac:dyDescent="0.3">
      <c r="A235" s="120">
        <v>228</v>
      </c>
      <c r="B235" s="118" t="s">
        <v>345</v>
      </c>
      <c r="C235" s="107">
        <v>100000</v>
      </c>
      <c r="D235" s="103">
        <v>135000</v>
      </c>
      <c r="E235" s="103">
        <v>90000</v>
      </c>
      <c r="F235" s="103">
        <f t="shared" si="9"/>
        <v>325000</v>
      </c>
      <c r="G235" s="103">
        <f t="shared" si="11"/>
        <v>9925.7890933965082</v>
      </c>
      <c r="H235" s="103">
        <f t="shared" si="10"/>
        <v>10000</v>
      </c>
    </row>
    <row r="236" spans="1:8" x14ac:dyDescent="0.3">
      <c r="A236" s="120">
        <v>229</v>
      </c>
      <c r="B236" s="118" t="s">
        <v>346</v>
      </c>
      <c r="C236" s="107">
        <v>100000</v>
      </c>
      <c r="D236" s="103">
        <v>225000</v>
      </c>
      <c r="E236" s="103">
        <v>89500</v>
      </c>
      <c r="F236" s="103">
        <f t="shared" si="9"/>
        <v>414500</v>
      </c>
      <c r="G236" s="103">
        <f t="shared" si="11"/>
        <v>12659.198705270317</v>
      </c>
      <c r="H236" s="103">
        <f t="shared" si="10"/>
        <v>12500</v>
      </c>
    </row>
    <row r="237" spans="1:8" x14ac:dyDescent="0.3">
      <c r="A237" s="120">
        <v>230</v>
      </c>
      <c r="B237" s="118" t="s">
        <v>347</v>
      </c>
      <c r="C237" s="107">
        <v>100000</v>
      </c>
      <c r="D237" s="103">
        <v>265000</v>
      </c>
      <c r="E237" s="103">
        <v>2050000</v>
      </c>
      <c r="F237" s="103">
        <f t="shared" si="9"/>
        <v>2415000</v>
      </c>
      <c r="G237" s="103">
        <f t="shared" si="11"/>
        <v>73756.248186315599</v>
      </c>
      <c r="H237" s="103">
        <f t="shared" si="10"/>
        <v>74000</v>
      </c>
    </row>
    <row r="238" spans="1:8" x14ac:dyDescent="0.3">
      <c r="A238" s="120">
        <v>231</v>
      </c>
      <c r="B238" s="118" t="s">
        <v>348</v>
      </c>
      <c r="C238" s="107">
        <v>100000</v>
      </c>
      <c r="D238" s="103">
        <v>260000</v>
      </c>
      <c r="E238" s="103">
        <v>960000</v>
      </c>
      <c r="F238" s="103">
        <f t="shared" si="9"/>
        <v>1320000</v>
      </c>
      <c r="G238" s="103">
        <f t="shared" si="11"/>
        <v>40313.974163948893</v>
      </c>
      <c r="H238" s="103">
        <f t="shared" si="10"/>
        <v>40500</v>
      </c>
    </row>
    <row r="239" spans="1:8" x14ac:dyDescent="0.3">
      <c r="A239" s="120">
        <v>232</v>
      </c>
      <c r="B239" s="118" t="s">
        <v>349</v>
      </c>
      <c r="C239" s="107">
        <v>100000</v>
      </c>
      <c r="D239" s="103">
        <v>215000</v>
      </c>
      <c r="E239" s="103">
        <v>260000</v>
      </c>
      <c r="F239" s="103">
        <f t="shared" si="9"/>
        <v>575000</v>
      </c>
      <c r="G239" s="103">
        <f t="shared" si="11"/>
        <v>17561.011472932285</v>
      </c>
      <c r="H239" s="103">
        <f t="shared" si="10"/>
        <v>17500</v>
      </c>
    </row>
    <row r="240" spans="1:8" x14ac:dyDescent="0.3">
      <c r="A240" s="120">
        <v>233</v>
      </c>
      <c r="B240" s="118" t="s">
        <v>350</v>
      </c>
      <c r="C240" s="107">
        <v>100000</v>
      </c>
      <c r="D240" s="103">
        <v>10000</v>
      </c>
      <c r="E240" s="103">
        <v>70000</v>
      </c>
      <c r="F240" s="103">
        <f t="shared" si="9"/>
        <v>180000</v>
      </c>
      <c r="G240" s="103">
        <f t="shared" si="11"/>
        <v>5497.3601132657586</v>
      </c>
      <c r="H240" s="103">
        <f t="shared" si="10"/>
        <v>5500</v>
      </c>
    </row>
    <row r="241" spans="1:8" x14ac:dyDescent="0.3">
      <c r="A241" s="120">
        <v>234</v>
      </c>
      <c r="B241" s="118" t="s">
        <v>351</v>
      </c>
      <c r="C241" s="107"/>
      <c r="D241" s="103"/>
      <c r="E241" s="103"/>
      <c r="F241" s="103">
        <f t="shared" si="9"/>
        <v>0</v>
      </c>
      <c r="G241" s="103">
        <f t="shared" si="11"/>
        <v>0</v>
      </c>
      <c r="H241" s="103">
        <f t="shared" si="10"/>
        <v>0</v>
      </c>
    </row>
    <row r="242" spans="1:8" x14ac:dyDescent="0.3">
      <c r="A242" s="120">
        <v>235</v>
      </c>
      <c r="B242" s="118" t="s">
        <v>352</v>
      </c>
      <c r="C242" s="107">
        <v>100000</v>
      </c>
      <c r="D242" s="103">
        <v>240000</v>
      </c>
      <c r="E242" s="103">
        <v>975000</v>
      </c>
      <c r="F242" s="103">
        <f t="shared" si="9"/>
        <v>1315000</v>
      </c>
      <c r="G242" s="103">
        <f t="shared" si="11"/>
        <v>40161.269716358183</v>
      </c>
      <c r="H242" s="103">
        <f t="shared" si="10"/>
        <v>40000</v>
      </c>
    </row>
    <row r="243" spans="1:8" x14ac:dyDescent="0.3">
      <c r="A243" s="120">
        <v>236</v>
      </c>
      <c r="B243" s="118" t="s">
        <v>353</v>
      </c>
      <c r="C243" s="107">
        <v>100000</v>
      </c>
      <c r="D243" s="103">
        <v>245000</v>
      </c>
      <c r="E243" s="103">
        <v>1830000</v>
      </c>
      <c r="F243" s="103">
        <f t="shared" si="9"/>
        <v>2175000</v>
      </c>
      <c r="G243" s="103">
        <f t="shared" si="11"/>
        <v>66426.434701961247</v>
      </c>
      <c r="H243" s="103">
        <f t="shared" si="10"/>
        <v>66500</v>
      </c>
    </row>
    <row r="244" spans="1:8" x14ac:dyDescent="0.3">
      <c r="A244" s="120">
        <v>237</v>
      </c>
      <c r="B244" s="118" t="s">
        <v>354</v>
      </c>
      <c r="C244" s="107">
        <v>100000</v>
      </c>
      <c r="D244" s="103">
        <v>255000</v>
      </c>
      <c r="E244" s="103">
        <v>230000</v>
      </c>
      <c r="F244" s="103">
        <f t="shared" si="9"/>
        <v>585000</v>
      </c>
      <c r="G244" s="103">
        <f t="shared" si="11"/>
        <v>17866.420368113715</v>
      </c>
      <c r="H244" s="103">
        <f t="shared" si="10"/>
        <v>18000</v>
      </c>
    </row>
    <row r="245" spans="1:8" x14ac:dyDescent="0.3">
      <c r="A245" s="120">
        <v>238</v>
      </c>
      <c r="B245" s="118" t="s">
        <v>355</v>
      </c>
      <c r="C245" s="107">
        <v>100000</v>
      </c>
      <c r="D245" s="103">
        <v>245000</v>
      </c>
      <c r="E245" s="103">
        <v>3600000</v>
      </c>
      <c r="F245" s="103">
        <f t="shared" si="9"/>
        <v>3945000</v>
      </c>
      <c r="G245" s="103">
        <f t="shared" si="11"/>
        <v>120483.80914907454</v>
      </c>
      <c r="H245" s="103">
        <f t="shared" si="10"/>
        <v>120500</v>
      </c>
    </row>
    <row r="246" spans="1:8" x14ac:dyDescent="0.3">
      <c r="A246" s="120">
        <v>239</v>
      </c>
      <c r="B246" s="118" t="s">
        <v>356</v>
      </c>
      <c r="C246" s="107">
        <v>100000</v>
      </c>
      <c r="D246" s="103">
        <v>240000</v>
      </c>
      <c r="E246" s="103">
        <v>820000</v>
      </c>
      <c r="F246" s="103">
        <f t="shared" si="9"/>
        <v>1160000</v>
      </c>
      <c r="G246" s="103">
        <f t="shared" si="11"/>
        <v>35427.431841045996</v>
      </c>
      <c r="H246" s="103">
        <f t="shared" si="10"/>
        <v>35500</v>
      </c>
    </row>
    <row r="247" spans="1:8" x14ac:dyDescent="0.3">
      <c r="A247" s="120">
        <v>240</v>
      </c>
      <c r="B247" s="118" t="s">
        <v>357</v>
      </c>
      <c r="C247" s="107">
        <v>100000</v>
      </c>
      <c r="D247" s="103">
        <v>245000</v>
      </c>
      <c r="E247" s="103">
        <v>1030000</v>
      </c>
      <c r="F247" s="103">
        <f t="shared" si="9"/>
        <v>1375000</v>
      </c>
      <c r="G247" s="103">
        <f t="shared" si="11"/>
        <v>41993.723087446764</v>
      </c>
      <c r="H247" s="103">
        <f t="shared" si="10"/>
        <v>42000</v>
      </c>
    </row>
    <row r="248" spans="1:8" x14ac:dyDescent="0.3">
      <c r="A248" s="120">
        <v>241</v>
      </c>
      <c r="B248" s="118" t="s">
        <v>358</v>
      </c>
      <c r="C248" s="107">
        <v>100000</v>
      </c>
      <c r="D248" s="103">
        <v>245000</v>
      </c>
      <c r="E248" s="103">
        <v>1070000</v>
      </c>
      <c r="F248" s="103">
        <f t="shared" si="9"/>
        <v>1415000</v>
      </c>
      <c r="G248" s="103">
        <f t="shared" si="11"/>
        <v>43215.358668172492</v>
      </c>
      <c r="H248" s="103">
        <f t="shared" si="10"/>
        <v>43000</v>
      </c>
    </row>
    <row r="249" spans="1:8" x14ac:dyDescent="0.3">
      <c r="A249" s="120">
        <v>242</v>
      </c>
      <c r="B249" s="118" t="s">
        <v>359</v>
      </c>
      <c r="C249" s="107">
        <v>0</v>
      </c>
      <c r="D249" s="103"/>
      <c r="E249" s="103"/>
      <c r="F249" s="103">
        <f t="shared" si="9"/>
        <v>0</v>
      </c>
      <c r="G249" s="103">
        <f t="shared" si="11"/>
        <v>0</v>
      </c>
      <c r="H249" s="103">
        <f t="shared" si="10"/>
        <v>0</v>
      </c>
    </row>
    <row r="250" spans="1:8" x14ac:dyDescent="0.3">
      <c r="A250" s="120">
        <v>243</v>
      </c>
      <c r="B250" s="118" t="s">
        <v>360</v>
      </c>
      <c r="C250" s="107">
        <v>100000</v>
      </c>
      <c r="D250" s="103">
        <v>185000</v>
      </c>
      <c r="E250" s="103">
        <v>825000</v>
      </c>
      <c r="F250" s="103">
        <f t="shared" si="9"/>
        <v>1110000</v>
      </c>
      <c r="G250" s="103">
        <f t="shared" si="11"/>
        <v>33900.387365138842</v>
      </c>
      <c r="H250" s="103">
        <f t="shared" si="10"/>
        <v>34000</v>
      </c>
    </row>
    <row r="251" spans="1:8" x14ac:dyDescent="0.3">
      <c r="A251" s="120">
        <v>244</v>
      </c>
      <c r="B251" s="118" t="s">
        <v>361</v>
      </c>
      <c r="C251" s="107">
        <v>100000</v>
      </c>
      <c r="D251" s="103">
        <v>220000</v>
      </c>
      <c r="E251" s="103">
        <v>1978000</v>
      </c>
      <c r="F251" s="103">
        <f t="shared" si="9"/>
        <v>2298000</v>
      </c>
      <c r="G251" s="103">
        <f t="shared" si="11"/>
        <v>70182.964112692847</v>
      </c>
      <c r="H251" s="103">
        <f t="shared" si="10"/>
        <v>70000</v>
      </c>
    </row>
    <row r="252" spans="1:8" x14ac:dyDescent="0.3">
      <c r="A252" s="120">
        <v>245</v>
      </c>
      <c r="B252" s="118" t="s">
        <v>362</v>
      </c>
      <c r="C252" s="107">
        <v>100000</v>
      </c>
      <c r="D252" s="103">
        <v>100000</v>
      </c>
      <c r="E252" s="103"/>
      <c r="F252" s="103">
        <f t="shared" si="9"/>
        <v>200000</v>
      </c>
      <c r="G252" s="103">
        <f t="shared" si="11"/>
        <v>6108.1779036286207</v>
      </c>
      <c r="H252" s="103">
        <f t="shared" si="10"/>
        <v>6000</v>
      </c>
    </row>
    <row r="253" spans="1:8" x14ac:dyDescent="0.3">
      <c r="A253" s="120">
        <v>246</v>
      </c>
      <c r="B253" s="118" t="s">
        <v>363</v>
      </c>
      <c r="C253" s="107">
        <v>100000</v>
      </c>
      <c r="D253" s="103">
        <v>245000</v>
      </c>
      <c r="E253" s="103">
        <v>4645000</v>
      </c>
      <c r="F253" s="103">
        <f t="shared" si="9"/>
        <v>4990000</v>
      </c>
      <c r="G253" s="103">
        <f t="shared" si="11"/>
        <v>152399.03869553408</v>
      </c>
      <c r="H253" s="103">
        <f t="shared" si="10"/>
        <v>152500</v>
      </c>
    </row>
    <row r="254" spans="1:8" x14ac:dyDescent="0.3">
      <c r="A254" s="120">
        <v>247</v>
      </c>
      <c r="B254" s="118" t="s">
        <v>364</v>
      </c>
      <c r="C254" s="107">
        <v>100000</v>
      </c>
      <c r="D254" s="103">
        <v>245000</v>
      </c>
      <c r="E254" s="103">
        <v>220000</v>
      </c>
      <c r="F254" s="103">
        <f t="shared" si="9"/>
        <v>565000</v>
      </c>
      <c r="G254" s="103">
        <f t="shared" si="11"/>
        <v>17255.602577750855</v>
      </c>
      <c r="H254" s="103">
        <f t="shared" si="10"/>
        <v>17500</v>
      </c>
    </row>
    <row r="255" spans="1:8" x14ac:dyDescent="0.3">
      <c r="A255" s="120">
        <v>248</v>
      </c>
      <c r="B255" s="118" t="s">
        <v>365</v>
      </c>
      <c r="C255" s="107">
        <v>100000</v>
      </c>
      <c r="D255" s="103">
        <v>155000</v>
      </c>
      <c r="E255" s="103">
        <v>485000</v>
      </c>
      <c r="F255" s="103">
        <f t="shared" si="9"/>
        <v>740000</v>
      </c>
      <c r="G255" s="103">
        <f t="shared" si="11"/>
        <v>22600.258243425895</v>
      </c>
      <c r="H255" s="103">
        <f t="shared" si="10"/>
        <v>22500</v>
      </c>
    </row>
    <row r="256" spans="1:8" x14ac:dyDescent="0.3">
      <c r="A256" s="120">
        <v>249</v>
      </c>
      <c r="B256" s="118" t="s">
        <v>366</v>
      </c>
      <c r="C256" s="107">
        <v>100000</v>
      </c>
      <c r="D256" s="103">
        <v>230000</v>
      </c>
      <c r="E256" s="103">
        <v>3950000</v>
      </c>
      <c r="F256" s="103">
        <f t="shared" si="9"/>
        <v>4280000</v>
      </c>
      <c r="G256" s="103">
        <f t="shared" si="11"/>
        <v>130715.00713765249</v>
      </c>
      <c r="H256" s="103">
        <f t="shared" si="10"/>
        <v>130500</v>
      </c>
    </row>
    <row r="257" spans="1:8" x14ac:dyDescent="0.3">
      <c r="A257" s="120">
        <v>250</v>
      </c>
      <c r="B257" s="118" t="s">
        <v>367</v>
      </c>
      <c r="C257" s="107">
        <v>100000</v>
      </c>
      <c r="D257" s="103">
        <v>230000</v>
      </c>
      <c r="E257" s="103">
        <v>2255000</v>
      </c>
      <c r="F257" s="103">
        <f t="shared" si="9"/>
        <v>2585000</v>
      </c>
      <c r="G257" s="103">
        <f t="shared" si="11"/>
        <v>78948.199404399915</v>
      </c>
      <c r="H257" s="103">
        <f t="shared" si="10"/>
        <v>79000</v>
      </c>
    </row>
    <row r="258" spans="1:8" x14ac:dyDescent="0.3">
      <c r="A258" s="120">
        <v>251</v>
      </c>
      <c r="B258" s="118" t="s">
        <v>368</v>
      </c>
      <c r="C258" s="107">
        <v>100000</v>
      </c>
      <c r="D258" s="103">
        <v>230000</v>
      </c>
      <c r="E258" s="103">
        <v>2255000</v>
      </c>
      <c r="F258" s="103">
        <f t="shared" si="9"/>
        <v>2585000</v>
      </c>
      <c r="G258" s="103">
        <f t="shared" si="11"/>
        <v>78948.199404399915</v>
      </c>
      <c r="H258" s="103">
        <f t="shared" si="10"/>
        <v>79000</v>
      </c>
    </row>
    <row r="259" spans="1:8" x14ac:dyDescent="0.3">
      <c r="A259" s="120">
        <v>252</v>
      </c>
      <c r="B259" s="118" t="s">
        <v>369</v>
      </c>
      <c r="C259" s="107">
        <v>100000</v>
      </c>
      <c r="D259" s="103">
        <v>135000</v>
      </c>
      <c r="E259" s="103">
        <v>16000</v>
      </c>
      <c r="F259" s="103">
        <f t="shared" si="9"/>
        <v>251000</v>
      </c>
      <c r="G259" s="103">
        <f t="shared" si="11"/>
        <v>7665.7632690539185</v>
      </c>
      <c r="H259" s="103">
        <f t="shared" si="10"/>
        <v>7500</v>
      </c>
    </row>
    <row r="260" spans="1:8" x14ac:dyDescent="0.3">
      <c r="A260" s="120">
        <v>253</v>
      </c>
      <c r="B260" s="118" t="s">
        <v>370</v>
      </c>
      <c r="C260" s="107">
        <v>100000</v>
      </c>
      <c r="D260" s="103">
        <v>225000</v>
      </c>
      <c r="E260" s="103">
        <v>2700000</v>
      </c>
      <c r="F260" s="103">
        <f t="shared" si="9"/>
        <v>3025000</v>
      </c>
      <c r="G260" s="103">
        <f t="shared" si="11"/>
        <v>92386.190792382884</v>
      </c>
      <c r="H260" s="103">
        <f t="shared" si="10"/>
        <v>92500</v>
      </c>
    </row>
    <row r="261" spans="1:8" x14ac:dyDescent="0.3">
      <c r="A261" s="120">
        <v>254</v>
      </c>
      <c r="B261" s="118" t="s">
        <v>371</v>
      </c>
      <c r="C261" s="107">
        <v>100000</v>
      </c>
      <c r="D261" s="103">
        <v>235000</v>
      </c>
      <c r="E261" s="103">
        <v>1990000</v>
      </c>
      <c r="F261" s="103">
        <f t="shared" si="9"/>
        <v>2325000</v>
      </c>
      <c r="G261" s="103">
        <f t="shared" si="11"/>
        <v>71007.56812968271</v>
      </c>
      <c r="H261" s="103">
        <f t="shared" si="10"/>
        <v>71000</v>
      </c>
    </row>
    <row r="262" spans="1:8" x14ac:dyDescent="0.3">
      <c r="A262" s="120">
        <v>255</v>
      </c>
      <c r="B262" s="118" t="s">
        <v>372</v>
      </c>
      <c r="C262" s="107">
        <v>100000</v>
      </c>
      <c r="D262" s="103">
        <v>225000</v>
      </c>
      <c r="E262" s="103">
        <v>3015000</v>
      </c>
      <c r="F262" s="103">
        <f t="shared" si="9"/>
        <v>3340000</v>
      </c>
      <c r="G262" s="103">
        <f t="shared" si="11"/>
        <v>102006.57099059796</v>
      </c>
      <c r="H262" s="103">
        <f t="shared" si="10"/>
        <v>102000</v>
      </c>
    </row>
    <row r="263" spans="1:8" x14ac:dyDescent="0.3">
      <c r="A263" s="123">
        <v>256</v>
      </c>
      <c r="B263" s="118" t="s">
        <v>373</v>
      </c>
      <c r="C263" s="107">
        <v>100000</v>
      </c>
      <c r="D263" s="103">
        <v>240000</v>
      </c>
      <c r="E263" s="103">
        <v>530000</v>
      </c>
      <c r="F263" s="103">
        <f t="shared" si="9"/>
        <v>870000</v>
      </c>
      <c r="G263" s="103">
        <f t="shared" si="11"/>
        <v>26570.573880784501</v>
      </c>
      <c r="H263" s="103">
        <f t="shared" si="10"/>
        <v>26500</v>
      </c>
    </row>
    <row r="264" spans="1:8" x14ac:dyDescent="0.3">
      <c r="A264" s="120">
        <v>257</v>
      </c>
      <c r="B264" s="118" t="s">
        <v>374</v>
      </c>
      <c r="C264" s="107">
        <v>100000</v>
      </c>
      <c r="D264" s="103">
        <v>220000</v>
      </c>
      <c r="E264" s="103">
        <v>2060000</v>
      </c>
      <c r="F264" s="103">
        <f t="shared" si="9"/>
        <v>2380000</v>
      </c>
      <c r="G264" s="103">
        <f t="shared" si="11"/>
        <v>72687.317053180581</v>
      </c>
      <c r="H264" s="103">
        <f t="shared" si="10"/>
        <v>72500</v>
      </c>
    </row>
    <row r="265" spans="1:8" x14ac:dyDescent="0.3">
      <c r="A265" s="120">
        <v>258</v>
      </c>
      <c r="B265" s="118" t="s">
        <v>375</v>
      </c>
      <c r="C265" s="107">
        <v>100000</v>
      </c>
      <c r="D265" s="103">
        <v>160000</v>
      </c>
      <c r="E265" s="103"/>
      <c r="F265" s="103">
        <f t="shared" ref="F265:F297" si="12">+C265+D265+E265</f>
        <v>260000</v>
      </c>
      <c r="G265" s="103">
        <f t="shared" si="11"/>
        <v>7940.6312747172069</v>
      </c>
      <c r="H265" s="103">
        <f t="shared" ref="H265:H297" si="13">MROUND(G265,500)</f>
        <v>8000</v>
      </c>
    </row>
    <row r="266" spans="1:8" x14ac:dyDescent="0.3">
      <c r="A266" s="120">
        <v>259</v>
      </c>
      <c r="B266" s="118" t="s">
        <v>376</v>
      </c>
      <c r="C266" s="107">
        <v>100000</v>
      </c>
      <c r="D266" s="103">
        <v>205000</v>
      </c>
      <c r="E266" s="103">
        <v>4265000</v>
      </c>
      <c r="F266" s="103">
        <f t="shared" si="12"/>
        <v>4570000</v>
      </c>
      <c r="G266" s="103">
        <f t="shared" ref="G266:G297" si="14">+F266*$L$6</f>
        <v>139571.86509791398</v>
      </c>
      <c r="H266" s="103">
        <f t="shared" si="13"/>
        <v>139500</v>
      </c>
    </row>
    <row r="267" spans="1:8" x14ac:dyDescent="0.3">
      <c r="A267" s="121">
        <v>260</v>
      </c>
      <c r="B267" s="118" t="s">
        <v>377</v>
      </c>
      <c r="C267" s="107">
        <v>100000</v>
      </c>
      <c r="D267" s="103">
        <v>215000</v>
      </c>
      <c r="E267" s="103">
        <v>4780000</v>
      </c>
      <c r="F267" s="103">
        <f t="shared" si="12"/>
        <v>5095000</v>
      </c>
      <c r="G267" s="103">
        <f t="shared" si="14"/>
        <v>155605.83209493911</v>
      </c>
      <c r="H267" s="103">
        <f t="shared" si="13"/>
        <v>155500</v>
      </c>
    </row>
    <row r="268" spans="1:8" x14ac:dyDescent="0.3">
      <c r="A268" s="120">
        <v>261</v>
      </c>
      <c r="B268" s="118" t="s">
        <v>378</v>
      </c>
      <c r="C268" s="107">
        <v>100000</v>
      </c>
      <c r="D268" s="103">
        <v>225000</v>
      </c>
      <c r="E268" s="103">
        <v>815000</v>
      </c>
      <c r="F268" s="103">
        <f t="shared" si="12"/>
        <v>1140000</v>
      </c>
      <c r="G268" s="103">
        <f t="shared" si="14"/>
        <v>34816.614050683136</v>
      </c>
      <c r="H268" s="103">
        <f t="shared" si="13"/>
        <v>35000</v>
      </c>
    </row>
    <row r="269" spans="1:8" x14ac:dyDescent="0.3">
      <c r="A269" s="120">
        <v>262</v>
      </c>
      <c r="B269" s="118" t="s">
        <v>379</v>
      </c>
      <c r="C269" s="107">
        <v>100000</v>
      </c>
      <c r="D269" s="103">
        <v>35000</v>
      </c>
      <c r="E269" s="103">
        <v>71500</v>
      </c>
      <c r="F269" s="103">
        <f t="shared" si="12"/>
        <v>206500</v>
      </c>
      <c r="G269" s="103">
        <f t="shared" si="14"/>
        <v>6306.6936854965506</v>
      </c>
      <c r="H269" s="103">
        <f t="shared" si="13"/>
        <v>6500</v>
      </c>
    </row>
    <row r="270" spans="1:8" x14ac:dyDescent="0.3">
      <c r="A270" s="120">
        <v>263</v>
      </c>
      <c r="B270" s="118" t="s">
        <v>380</v>
      </c>
      <c r="C270" s="107">
        <v>100000</v>
      </c>
      <c r="D270" s="103">
        <v>205000</v>
      </c>
      <c r="E270" s="103">
        <v>1155000</v>
      </c>
      <c r="F270" s="103">
        <f t="shared" si="12"/>
        <v>1460000</v>
      </c>
      <c r="G270" s="103">
        <f t="shared" si="14"/>
        <v>44589.698696488929</v>
      </c>
      <c r="H270" s="103">
        <f t="shared" si="13"/>
        <v>44500</v>
      </c>
    </row>
    <row r="271" spans="1:8" x14ac:dyDescent="0.3">
      <c r="A271" s="120">
        <v>264</v>
      </c>
      <c r="B271" s="118" t="s">
        <v>381</v>
      </c>
      <c r="C271" s="107">
        <v>0</v>
      </c>
      <c r="D271" s="103"/>
      <c r="E271" s="103"/>
      <c r="F271" s="103">
        <f t="shared" si="12"/>
        <v>0</v>
      </c>
      <c r="G271" s="103">
        <f t="shared" si="14"/>
        <v>0</v>
      </c>
      <c r="H271" s="103">
        <f t="shared" si="13"/>
        <v>0</v>
      </c>
    </row>
    <row r="272" spans="1:8" x14ac:dyDescent="0.3">
      <c r="A272" s="120">
        <v>265</v>
      </c>
      <c r="B272" s="118" t="s">
        <v>382</v>
      </c>
      <c r="C272" s="107">
        <v>100000</v>
      </c>
      <c r="D272" s="103">
        <v>95000</v>
      </c>
      <c r="E272" s="103">
        <v>175000</v>
      </c>
      <c r="F272" s="103">
        <f t="shared" si="12"/>
        <v>370000</v>
      </c>
      <c r="G272" s="103">
        <f t="shared" si="14"/>
        <v>11300.129121712947</v>
      </c>
      <c r="H272" s="103">
        <f t="shared" si="13"/>
        <v>11500</v>
      </c>
    </row>
    <row r="273" spans="1:8" x14ac:dyDescent="0.3">
      <c r="A273" s="120">
        <v>266</v>
      </c>
      <c r="B273" s="118" t="s">
        <v>383</v>
      </c>
      <c r="C273" s="107">
        <v>100000</v>
      </c>
      <c r="D273" s="103">
        <v>180000</v>
      </c>
      <c r="E273" s="103">
        <v>10421500</v>
      </c>
      <c r="F273" s="103">
        <f t="shared" si="12"/>
        <v>10701500</v>
      </c>
      <c r="G273" s="103">
        <f t="shared" si="14"/>
        <v>326833.32917840843</v>
      </c>
      <c r="H273" s="103">
        <f t="shared" si="13"/>
        <v>327000</v>
      </c>
    </row>
    <row r="274" spans="1:8" x14ac:dyDescent="0.3">
      <c r="A274" s="120">
        <v>267</v>
      </c>
      <c r="B274" s="118" t="s">
        <v>384</v>
      </c>
      <c r="C274" s="107">
        <v>100000</v>
      </c>
      <c r="D274" s="103">
        <v>185000</v>
      </c>
      <c r="E274" s="103">
        <v>1560000</v>
      </c>
      <c r="F274" s="103">
        <f t="shared" si="12"/>
        <v>1845000</v>
      </c>
      <c r="G274" s="103">
        <f t="shared" si="14"/>
        <v>56347.941160974027</v>
      </c>
      <c r="H274" s="103">
        <f t="shared" si="13"/>
        <v>56500</v>
      </c>
    </row>
    <row r="275" spans="1:8" x14ac:dyDescent="0.3">
      <c r="A275" s="120">
        <v>268</v>
      </c>
      <c r="B275" s="118" t="s">
        <v>385</v>
      </c>
      <c r="C275" s="107">
        <v>100000</v>
      </c>
      <c r="D275" s="103">
        <v>170000</v>
      </c>
      <c r="E275" s="103">
        <v>1555000</v>
      </c>
      <c r="F275" s="103">
        <f t="shared" si="12"/>
        <v>1825000</v>
      </c>
      <c r="G275" s="103">
        <f t="shared" si="14"/>
        <v>55737.12337061116</v>
      </c>
      <c r="H275" s="103">
        <f t="shared" si="13"/>
        <v>55500</v>
      </c>
    </row>
    <row r="276" spans="1:8" x14ac:dyDescent="0.3">
      <c r="A276" s="120">
        <v>269</v>
      </c>
      <c r="B276" s="118" t="s">
        <v>386</v>
      </c>
      <c r="C276" s="107">
        <v>100000</v>
      </c>
      <c r="D276" s="103">
        <v>30000</v>
      </c>
      <c r="E276" s="103">
        <v>25000</v>
      </c>
      <c r="F276" s="103">
        <f t="shared" si="12"/>
        <v>155000</v>
      </c>
      <c r="G276" s="103">
        <f t="shared" si="14"/>
        <v>4733.8378753121806</v>
      </c>
      <c r="H276" s="103">
        <f t="shared" si="13"/>
        <v>4500</v>
      </c>
    </row>
    <row r="277" spans="1:8" x14ac:dyDescent="0.3">
      <c r="A277" s="120">
        <v>270</v>
      </c>
      <c r="B277" s="118" t="s">
        <v>387</v>
      </c>
      <c r="C277" s="107">
        <v>100000</v>
      </c>
      <c r="D277" s="103">
        <v>85000</v>
      </c>
      <c r="E277" s="103">
        <v>40000</v>
      </c>
      <c r="F277" s="103">
        <f t="shared" si="12"/>
        <v>225000</v>
      </c>
      <c r="G277" s="103">
        <f t="shared" si="14"/>
        <v>6871.7001415821978</v>
      </c>
      <c r="H277" s="103">
        <f t="shared" si="13"/>
        <v>7000</v>
      </c>
    </row>
    <row r="278" spans="1:8" x14ac:dyDescent="0.3">
      <c r="A278" s="120">
        <v>271</v>
      </c>
      <c r="B278" s="118" t="s">
        <v>388</v>
      </c>
      <c r="C278" s="107">
        <v>100000</v>
      </c>
      <c r="D278" s="103">
        <v>790000</v>
      </c>
      <c r="E278" s="103">
        <v>1295700</v>
      </c>
      <c r="F278" s="103">
        <f t="shared" si="12"/>
        <v>2185700</v>
      </c>
      <c r="G278" s="103">
        <f t="shared" si="14"/>
        <v>66753.222219805379</v>
      </c>
      <c r="H278" s="103">
        <f t="shared" si="13"/>
        <v>67000</v>
      </c>
    </row>
    <row r="279" spans="1:8" x14ac:dyDescent="0.3">
      <c r="A279" s="120">
        <v>272</v>
      </c>
      <c r="B279" s="118" t="s">
        <v>389</v>
      </c>
      <c r="C279" s="103">
        <v>100000</v>
      </c>
      <c r="D279" s="103">
        <v>115000</v>
      </c>
      <c r="E279" s="103">
        <v>650000</v>
      </c>
      <c r="F279" s="103">
        <f t="shared" si="12"/>
        <v>865000</v>
      </c>
      <c r="G279" s="103">
        <f t="shared" si="14"/>
        <v>26417.869433193784</v>
      </c>
      <c r="H279" s="103">
        <f t="shared" si="13"/>
        <v>26500</v>
      </c>
    </row>
    <row r="280" spans="1:8" x14ac:dyDescent="0.3">
      <c r="A280" s="120">
        <v>273</v>
      </c>
      <c r="B280" s="118" t="s">
        <v>390</v>
      </c>
      <c r="C280" s="103">
        <v>100000</v>
      </c>
      <c r="D280" s="103">
        <v>35000</v>
      </c>
      <c r="E280" s="103">
        <v>265000</v>
      </c>
      <c r="F280" s="103">
        <f t="shared" si="12"/>
        <v>400000</v>
      </c>
      <c r="G280" s="103">
        <f t="shared" si="14"/>
        <v>12216.355807257241</v>
      </c>
      <c r="H280" s="103">
        <f t="shared" si="13"/>
        <v>12000</v>
      </c>
    </row>
    <row r="281" spans="1:8" x14ac:dyDescent="0.3">
      <c r="A281" s="120">
        <v>274</v>
      </c>
      <c r="B281" s="118" t="s">
        <v>391</v>
      </c>
      <c r="C281" s="103">
        <v>100000</v>
      </c>
      <c r="D281" s="103">
        <v>10000</v>
      </c>
      <c r="E281" s="103">
        <v>65000</v>
      </c>
      <c r="F281" s="103">
        <f t="shared" si="12"/>
        <v>175000</v>
      </c>
      <c r="G281" s="103">
        <f t="shared" si="14"/>
        <v>5344.6556656750427</v>
      </c>
      <c r="H281" s="103">
        <f t="shared" si="13"/>
        <v>5500</v>
      </c>
    </row>
    <row r="282" spans="1:8" x14ac:dyDescent="0.3">
      <c r="A282" s="120">
        <v>275</v>
      </c>
      <c r="B282" s="118" t="s">
        <v>392</v>
      </c>
      <c r="C282" s="103">
        <v>100000</v>
      </c>
      <c r="D282" s="103">
        <v>35000</v>
      </c>
      <c r="E282" s="103">
        <v>500000</v>
      </c>
      <c r="F282" s="103">
        <f t="shared" si="12"/>
        <v>635000</v>
      </c>
      <c r="G282" s="103">
        <f t="shared" si="14"/>
        <v>19393.464844020869</v>
      </c>
      <c r="H282" s="103">
        <f t="shared" si="13"/>
        <v>19500</v>
      </c>
    </row>
    <row r="283" spans="1:8" x14ac:dyDescent="0.3">
      <c r="A283" s="120">
        <v>276</v>
      </c>
      <c r="B283" s="118" t="s">
        <v>393</v>
      </c>
      <c r="C283" s="103">
        <v>100000</v>
      </c>
      <c r="D283" s="103">
        <v>95000</v>
      </c>
      <c r="E283" s="103">
        <v>1900000</v>
      </c>
      <c r="F283" s="103">
        <f t="shared" si="12"/>
        <v>2095000</v>
      </c>
      <c r="G283" s="103">
        <f t="shared" si="14"/>
        <v>63983.163540509799</v>
      </c>
      <c r="H283" s="103">
        <f t="shared" si="13"/>
        <v>64000</v>
      </c>
    </row>
    <row r="284" spans="1:8" x14ac:dyDescent="0.3">
      <c r="A284" s="120">
        <v>277</v>
      </c>
      <c r="B284" s="118" t="s">
        <v>394</v>
      </c>
      <c r="C284" s="103">
        <v>100000</v>
      </c>
      <c r="D284" s="103">
        <v>300000</v>
      </c>
      <c r="E284" s="103">
        <v>1700500</v>
      </c>
      <c r="F284" s="103">
        <f t="shared" si="12"/>
        <v>2100500</v>
      </c>
      <c r="G284" s="103">
        <f t="shared" si="14"/>
        <v>64151.138432859589</v>
      </c>
      <c r="H284" s="103">
        <f t="shared" si="13"/>
        <v>64000</v>
      </c>
    </row>
    <row r="285" spans="1:8" x14ac:dyDescent="0.3">
      <c r="A285" s="120">
        <v>278</v>
      </c>
      <c r="B285" s="118" t="s">
        <v>395</v>
      </c>
      <c r="C285" s="103">
        <v>100000</v>
      </c>
      <c r="D285" s="103">
        <v>100000</v>
      </c>
      <c r="E285" s="103">
        <v>75000</v>
      </c>
      <c r="F285" s="103">
        <f t="shared" si="12"/>
        <v>275000</v>
      </c>
      <c r="G285" s="103">
        <f t="shared" si="14"/>
        <v>8398.7446174893539</v>
      </c>
      <c r="H285" s="103">
        <f t="shared" si="13"/>
        <v>8500</v>
      </c>
    </row>
    <row r="286" spans="1:8" x14ac:dyDescent="0.3">
      <c r="A286" s="120">
        <v>279</v>
      </c>
      <c r="B286" s="118" t="s">
        <v>396</v>
      </c>
      <c r="C286" s="103">
        <v>100000</v>
      </c>
      <c r="D286" s="103">
        <v>80000</v>
      </c>
      <c r="E286" s="103">
        <v>785000</v>
      </c>
      <c r="F286" s="103">
        <f t="shared" si="12"/>
        <v>965000</v>
      </c>
      <c r="G286" s="103">
        <f t="shared" si="14"/>
        <v>29471.958385008093</v>
      </c>
      <c r="H286" s="103">
        <f t="shared" si="13"/>
        <v>29500</v>
      </c>
    </row>
    <row r="287" spans="1:8" x14ac:dyDescent="0.3">
      <c r="A287" s="120">
        <v>280</v>
      </c>
      <c r="B287" s="118" t="s">
        <v>397</v>
      </c>
      <c r="C287" s="103">
        <v>100000</v>
      </c>
      <c r="D287" s="103">
        <v>65000</v>
      </c>
      <c r="E287" s="103">
        <v>260000</v>
      </c>
      <c r="F287" s="103">
        <f t="shared" si="12"/>
        <v>425000</v>
      </c>
      <c r="G287" s="103">
        <f t="shared" si="14"/>
        <v>12979.878045210819</v>
      </c>
      <c r="H287" s="103">
        <f t="shared" si="13"/>
        <v>13000</v>
      </c>
    </row>
    <row r="288" spans="1:8" x14ac:dyDescent="0.3">
      <c r="A288" s="120">
        <v>281</v>
      </c>
      <c r="B288" s="118" t="s">
        <v>398</v>
      </c>
      <c r="C288" s="103">
        <v>100000</v>
      </c>
      <c r="D288" s="103">
        <v>65000</v>
      </c>
      <c r="E288" s="103">
        <v>550000</v>
      </c>
      <c r="F288" s="103">
        <f t="shared" si="12"/>
        <v>715000</v>
      </c>
      <c r="G288" s="103">
        <f t="shared" si="14"/>
        <v>21836.736005472318</v>
      </c>
      <c r="H288" s="103">
        <f t="shared" si="13"/>
        <v>22000</v>
      </c>
    </row>
    <row r="289" spans="1:10" x14ac:dyDescent="0.3">
      <c r="A289" s="120">
        <v>282</v>
      </c>
      <c r="B289" s="118" t="s">
        <v>413</v>
      </c>
      <c r="C289" s="103">
        <v>100000</v>
      </c>
      <c r="D289" s="103">
        <v>60000</v>
      </c>
      <c r="E289" s="103">
        <v>1200000</v>
      </c>
      <c r="F289" s="103">
        <f t="shared" si="12"/>
        <v>1360000</v>
      </c>
      <c r="G289" s="103">
        <f t="shared" si="14"/>
        <v>41535.609744674621</v>
      </c>
      <c r="H289" s="103">
        <f t="shared" si="13"/>
        <v>41500</v>
      </c>
    </row>
    <row r="290" spans="1:10" x14ac:dyDescent="0.3">
      <c r="A290" s="120">
        <v>283</v>
      </c>
      <c r="B290" s="148" t="s">
        <v>414</v>
      </c>
      <c r="C290" s="103">
        <v>100000</v>
      </c>
      <c r="D290" s="103">
        <v>60000</v>
      </c>
      <c r="E290" s="103">
        <v>600000</v>
      </c>
      <c r="F290" s="103">
        <f t="shared" si="12"/>
        <v>760000</v>
      </c>
      <c r="G290" s="103">
        <f t="shared" si="14"/>
        <v>23211.076033788759</v>
      </c>
      <c r="H290" s="103">
        <f t="shared" si="13"/>
        <v>23000</v>
      </c>
    </row>
    <row r="291" spans="1:10" x14ac:dyDescent="0.3">
      <c r="A291" s="120">
        <v>284</v>
      </c>
      <c r="B291" s="118" t="s">
        <v>415</v>
      </c>
      <c r="C291" s="103">
        <v>100000</v>
      </c>
      <c r="D291" s="103">
        <v>45000</v>
      </c>
      <c r="E291" s="103">
        <v>800000</v>
      </c>
      <c r="F291" s="103">
        <f t="shared" si="12"/>
        <v>945000</v>
      </c>
      <c r="G291" s="103">
        <f t="shared" si="14"/>
        <v>28861.140594645232</v>
      </c>
      <c r="H291" s="103">
        <f t="shared" si="13"/>
        <v>29000</v>
      </c>
    </row>
    <row r="292" spans="1:10" x14ac:dyDescent="0.3">
      <c r="A292" s="120">
        <v>285</v>
      </c>
      <c r="B292" s="149" t="s">
        <v>416</v>
      </c>
      <c r="C292" s="103">
        <v>100000</v>
      </c>
      <c r="D292" s="103">
        <v>40000</v>
      </c>
      <c r="E292" s="103">
        <v>365000</v>
      </c>
      <c r="F292" s="103">
        <f t="shared" si="12"/>
        <v>505000</v>
      </c>
      <c r="G292" s="103">
        <f t="shared" si="14"/>
        <v>15423.149206662267</v>
      </c>
      <c r="H292" s="103">
        <f t="shared" si="13"/>
        <v>15500</v>
      </c>
    </row>
    <row r="293" spans="1:10" x14ac:dyDescent="0.3">
      <c r="A293" s="120">
        <v>286</v>
      </c>
      <c r="B293" s="149" t="s">
        <v>417</v>
      </c>
      <c r="C293" s="103">
        <v>100000</v>
      </c>
      <c r="D293" s="103">
        <v>35000</v>
      </c>
      <c r="E293" s="103">
        <v>700000</v>
      </c>
      <c r="F293" s="103">
        <f t="shared" si="12"/>
        <v>835000</v>
      </c>
      <c r="G293" s="103">
        <f t="shared" si="14"/>
        <v>25501.64274764949</v>
      </c>
      <c r="H293" s="103">
        <f t="shared" si="13"/>
        <v>25500</v>
      </c>
    </row>
    <row r="294" spans="1:10" x14ac:dyDescent="0.3">
      <c r="A294" s="120">
        <v>287</v>
      </c>
      <c r="B294" s="149" t="s">
        <v>418</v>
      </c>
      <c r="C294" s="103">
        <v>100000</v>
      </c>
      <c r="D294" s="103">
        <v>35000</v>
      </c>
      <c r="E294" s="103">
        <v>105000</v>
      </c>
      <c r="F294" s="103">
        <f t="shared" si="12"/>
        <v>240000</v>
      </c>
      <c r="G294" s="103">
        <f t="shared" si="14"/>
        <v>7329.8134843543448</v>
      </c>
      <c r="H294" s="103">
        <f t="shared" si="13"/>
        <v>7500</v>
      </c>
    </row>
    <row r="295" spans="1:10" x14ac:dyDescent="0.3">
      <c r="A295" s="120">
        <v>288</v>
      </c>
      <c r="B295" s="149" t="s">
        <v>419</v>
      </c>
      <c r="C295" s="103">
        <v>100000</v>
      </c>
      <c r="D295" s="103">
        <v>25000</v>
      </c>
      <c r="E295" s="103">
        <v>400000</v>
      </c>
      <c r="F295" s="103">
        <f t="shared" si="12"/>
        <v>525000</v>
      </c>
      <c r="G295" s="103">
        <f t="shared" si="14"/>
        <v>16033.966997025129</v>
      </c>
      <c r="H295" s="103">
        <f t="shared" si="13"/>
        <v>16000</v>
      </c>
    </row>
    <row r="296" spans="1:10" x14ac:dyDescent="0.3">
      <c r="A296" s="120">
        <v>289</v>
      </c>
      <c r="B296" s="149" t="s">
        <v>420</v>
      </c>
      <c r="C296" s="103">
        <v>100000</v>
      </c>
      <c r="D296" s="103">
        <v>15000</v>
      </c>
      <c r="E296" s="103">
        <v>200000</v>
      </c>
      <c r="F296" s="103">
        <f t="shared" si="12"/>
        <v>315000</v>
      </c>
      <c r="G296" s="103">
        <f t="shared" si="14"/>
        <v>9620.3801982150781</v>
      </c>
      <c r="H296" s="103">
        <f t="shared" si="13"/>
        <v>9500</v>
      </c>
    </row>
    <row r="297" spans="1:10" x14ac:dyDescent="0.3">
      <c r="A297" s="120">
        <v>290</v>
      </c>
      <c r="B297" s="149" t="s">
        <v>421</v>
      </c>
      <c r="C297" s="103">
        <v>100000</v>
      </c>
      <c r="D297" s="103">
        <v>5000</v>
      </c>
      <c r="E297" s="103">
        <v>50000</v>
      </c>
      <c r="F297" s="103">
        <f t="shared" si="12"/>
        <v>155000</v>
      </c>
      <c r="G297" s="103">
        <f t="shared" si="14"/>
        <v>4733.8378753121806</v>
      </c>
      <c r="H297" s="103">
        <f t="shared" si="13"/>
        <v>4500</v>
      </c>
    </row>
    <row r="298" spans="1:10" x14ac:dyDescent="0.3">
      <c r="A298" s="120"/>
      <c r="B298" s="118"/>
      <c r="C298" s="103"/>
      <c r="D298" s="103"/>
      <c r="E298" s="103"/>
      <c r="F298" s="103"/>
      <c r="G298" s="103"/>
      <c r="H298" s="103"/>
    </row>
    <row r="299" spans="1:10" x14ac:dyDescent="0.3">
      <c r="A299" s="131"/>
      <c r="B299" s="118" t="s">
        <v>399</v>
      </c>
      <c r="C299" s="132">
        <f>SUM(C8:C298)</f>
        <v>25400000</v>
      </c>
      <c r="D299" s="132">
        <f>SUM(D8:D297)</f>
        <v>115440000</v>
      </c>
      <c r="E299" s="132">
        <f>SUM(E8:E297)</f>
        <v>395350997</v>
      </c>
      <c r="F299" s="132">
        <f>SUM(F8:F297)</f>
        <v>536190997</v>
      </c>
      <c r="G299" s="132">
        <f>SUM(G8:G297)</f>
        <v>16375750.000000007</v>
      </c>
      <c r="H299" s="132">
        <f>SUM(H8:H297)</f>
        <v>16372000</v>
      </c>
      <c r="J299" s="137"/>
    </row>
  </sheetData>
  <mergeCells count="8">
    <mergeCell ref="G5:G6"/>
    <mergeCell ref="H5:H6"/>
    <mergeCell ref="A5:A6"/>
    <mergeCell ref="B5:B6"/>
    <mergeCell ref="C5:C6"/>
    <mergeCell ref="D5:D6"/>
    <mergeCell ref="E5:E6"/>
    <mergeCell ref="F5:F6"/>
  </mergeCells>
  <pageMargins left="0.70866141732283472" right="0.70866141732283472" top="0.74803149606299213" bottom="0.74803149606299213" header="0.31496062992125984" footer="0.31496062992125984"/>
  <pageSetup paperSize="10000" scale="79" fitToHeight="6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3"/>
  <sheetViews>
    <sheetView tabSelected="1" workbookViewId="0">
      <selection activeCell="E8" sqref="E8"/>
    </sheetView>
  </sheetViews>
  <sheetFormatPr defaultColWidth="9.33203125" defaultRowHeight="14.4" x14ac:dyDescent="0.3"/>
  <cols>
    <col min="1" max="1" width="6.5546875" style="4" customWidth="1"/>
    <col min="2" max="2" width="28.6640625" style="4" bestFit="1" customWidth="1"/>
    <col min="3" max="3" width="12.5546875" style="5" bestFit="1" customWidth="1"/>
    <col min="4" max="5" width="11.5546875" style="5" bestFit="1" customWidth="1"/>
    <col min="6" max="6" width="16.5546875" style="4" bestFit="1" customWidth="1"/>
    <col min="7" max="7" width="9.33203125" style="4"/>
    <col min="8" max="8" width="11.5546875" style="5" bestFit="1" customWidth="1"/>
    <col min="9" max="10" width="11.5546875" style="4" customWidth="1"/>
    <col min="11" max="16384" width="9.33203125" style="4"/>
  </cols>
  <sheetData>
    <row r="1" spans="1:10" x14ac:dyDescent="0.3">
      <c r="A1" s="98" t="s">
        <v>107</v>
      </c>
      <c r="B1" s="98"/>
    </row>
    <row r="2" spans="1:10" x14ac:dyDescent="0.3">
      <c r="A2" s="98" t="s">
        <v>400</v>
      </c>
      <c r="B2" s="99"/>
    </row>
    <row r="3" spans="1:10" x14ac:dyDescent="0.3">
      <c r="A3" s="98" t="s">
        <v>109</v>
      </c>
      <c r="B3" s="99"/>
      <c r="I3" s="5">
        <f>C299</f>
        <v>67546000</v>
      </c>
      <c r="J3" s="5">
        <v>16375750</v>
      </c>
    </row>
    <row r="4" spans="1:10" x14ac:dyDescent="0.3">
      <c r="A4" s="98"/>
      <c r="B4" s="99"/>
      <c r="I4" s="5"/>
      <c r="J4" s="133">
        <f>J3/I3</f>
        <v>0.24243848636484766</v>
      </c>
    </row>
    <row r="5" spans="1:10" ht="15" customHeight="1" x14ac:dyDescent="0.3">
      <c r="A5" s="156" t="s">
        <v>110</v>
      </c>
      <c r="B5" s="158" t="s">
        <v>111</v>
      </c>
      <c r="C5" s="155" t="s">
        <v>115</v>
      </c>
      <c r="D5" s="154" t="s">
        <v>116</v>
      </c>
      <c r="E5" s="155" t="s">
        <v>117</v>
      </c>
      <c r="F5" s="154" t="s">
        <v>401</v>
      </c>
    </row>
    <row r="6" spans="1:10" x14ac:dyDescent="0.3">
      <c r="A6" s="157"/>
      <c r="B6" s="158"/>
      <c r="C6" s="155"/>
      <c r="D6" s="154"/>
      <c r="E6" s="155"/>
      <c r="F6" s="154"/>
    </row>
    <row r="7" spans="1:10" x14ac:dyDescent="0.3">
      <c r="A7" s="102"/>
      <c r="B7" s="100"/>
      <c r="C7" s="103"/>
      <c r="D7" s="103"/>
      <c r="E7" s="103"/>
      <c r="F7" s="104"/>
    </row>
    <row r="8" spans="1:10" x14ac:dyDescent="0.3">
      <c r="A8" s="105">
        <v>1</v>
      </c>
      <c r="B8" s="106" t="s">
        <v>118</v>
      </c>
      <c r="C8" s="103">
        <v>220000</v>
      </c>
      <c r="D8" s="103">
        <f>+C8*$J$4</f>
        <v>53336.467000266486</v>
      </c>
      <c r="E8" s="103">
        <f>MROUND(D8,500)</f>
        <v>53500</v>
      </c>
      <c r="F8" s="103">
        <v>1000000</v>
      </c>
      <c r="H8" s="134"/>
    </row>
    <row r="9" spans="1:10" x14ac:dyDescent="0.3">
      <c r="A9" s="105">
        <v>2</v>
      </c>
      <c r="B9" s="106" t="s">
        <v>119</v>
      </c>
      <c r="C9" s="103"/>
      <c r="D9" s="103">
        <f>+C9*$J$4</f>
        <v>0</v>
      </c>
      <c r="E9" s="103">
        <f t="shared" ref="E9:E72" si="0">MROUND(D9,500)</f>
        <v>0</v>
      </c>
      <c r="F9" s="103">
        <v>520000</v>
      </c>
      <c r="H9" s="134"/>
    </row>
    <row r="10" spans="1:10" x14ac:dyDescent="0.3">
      <c r="A10" s="105">
        <v>3</v>
      </c>
      <c r="B10" s="109" t="s">
        <v>120</v>
      </c>
      <c r="C10" s="103"/>
      <c r="D10" s="103">
        <f t="shared" ref="D9:D72" si="1">+C10*$J$4</f>
        <v>0</v>
      </c>
      <c r="E10" s="103">
        <f t="shared" si="0"/>
        <v>0</v>
      </c>
      <c r="F10" s="103"/>
      <c r="H10" s="134"/>
    </row>
    <row r="11" spans="1:10" x14ac:dyDescent="0.3">
      <c r="A11" s="105">
        <v>4</v>
      </c>
      <c r="B11" s="111" t="s">
        <v>121</v>
      </c>
      <c r="C11" s="103"/>
      <c r="D11" s="103">
        <f t="shared" si="1"/>
        <v>0</v>
      </c>
      <c r="E11" s="103">
        <f t="shared" si="0"/>
        <v>0</v>
      </c>
      <c r="F11" s="103"/>
      <c r="H11" s="134"/>
    </row>
    <row r="12" spans="1:10" x14ac:dyDescent="0.3">
      <c r="A12" s="105">
        <v>5</v>
      </c>
      <c r="B12" s="106" t="s">
        <v>122</v>
      </c>
      <c r="C12" s="103">
        <v>800000</v>
      </c>
      <c r="D12" s="103">
        <f t="shared" si="1"/>
        <v>193950.78909187813</v>
      </c>
      <c r="E12" s="103">
        <f t="shared" si="0"/>
        <v>194000</v>
      </c>
      <c r="F12" s="103">
        <v>2000000</v>
      </c>
      <c r="H12" s="134"/>
    </row>
    <row r="13" spans="1:10" x14ac:dyDescent="0.3">
      <c r="A13" s="105">
        <v>6</v>
      </c>
      <c r="B13" s="106" t="s">
        <v>123</v>
      </c>
      <c r="C13" s="103">
        <v>45000</v>
      </c>
      <c r="D13" s="103">
        <f t="shared" si="1"/>
        <v>10909.731886418145</v>
      </c>
      <c r="E13" s="103">
        <f t="shared" si="0"/>
        <v>11000</v>
      </c>
      <c r="F13" s="103">
        <v>0</v>
      </c>
      <c r="H13" s="134"/>
    </row>
    <row r="14" spans="1:10" x14ac:dyDescent="0.3">
      <c r="A14" s="105">
        <v>7</v>
      </c>
      <c r="B14" s="113" t="s">
        <v>124</v>
      </c>
      <c r="C14" s="103">
        <v>420000</v>
      </c>
      <c r="D14" s="103">
        <f t="shared" si="1"/>
        <v>101824.16427323602</v>
      </c>
      <c r="E14" s="103">
        <f t="shared" si="0"/>
        <v>102000</v>
      </c>
      <c r="F14" s="103">
        <v>10000000</v>
      </c>
      <c r="H14" s="134"/>
    </row>
    <row r="15" spans="1:10" x14ac:dyDescent="0.3">
      <c r="A15" s="105">
        <v>8</v>
      </c>
      <c r="B15" s="106" t="s">
        <v>125</v>
      </c>
      <c r="C15" s="103">
        <v>850000</v>
      </c>
      <c r="D15" s="103">
        <f t="shared" si="1"/>
        <v>206072.71341012052</v>
      </c>
      <c r="E15" s="103">
        <f t="shared" si="0"/>
        <v>206000</v>
      </c>
      <c r="F15" s="103">
        <v>4000000</v>
      </c>
      <c r="H15" s="134"/>
    </row>
    <row r="16" spans="1:10" x14ac:dyDescent="0.3">
      <c r="A16" s="105">
        <v>9</v>
      </c>
      <c r="B16" s="113" t="s">
        <v>126</v>
      </c>
      <c r="C16" s="103">
        <v>1200000</v>
      </c>
      <c r="D16" s="103">
        <f t="shared" si="1"/>
        <v>290926.18363781722</v>
      </c>
      <c r="E16" s="103">
        <f t="shared" si="0"/>
        <v>291000</v>
      </c>
      <c r="F16" s="103">
        <v>8000000</v>
      </c>
      <c r="H16" s="134"/>
    </row>
    <row r="17" spans="1:8" x14ac:dyDescent="0.3">
      <c r="A17" s="105">
        <v>10</v>
      </c>
      <c r="B17" s="106" t="s">
        <v>127</v>
      </c>
      <c r="C17" s="103">
        <v>90000</v>
      </c>
      <c r="D17" s="103">
        <f t="shared" si="1"/>
        <v>21819.46377283629</v>
      </c>
      <c r="E17" s="103">
        <f t="shared" si="0"/>
        <v>22000</v>
      </c>
      <c r="F17" s="103">
        <v>0</v>
      </c>
      <c r="H17" s="134"/>
    </row>
    <row r="18" spans="1:8" x14ac:dyDescent="0.3">
      <c r="A18" s="105">
        <v>11</v>
      </c>
      <c r="B18" s="113" t="s">
        <v>128</v>
      </c>
      <c r="C18" s="103"/>
      <c r="D18" s="103">
        <f t="shared" si="1"/>
        <v>0</v>
      </c>
      <c r="E18" s="103">
        <f t="shared" si="0"/>
        <v>0</v>
      </c>
      <c r="F18" s="103"/>
      <c r="H18" s="134"/>
    </row>
    <row r="19" spans="1:8" x14ac:dyDescent="0.3">
      <c r="A19" s="105">
        <v>12</v>
      </c>
      <c r="B19" s="113" t="s">
        <v>129</v>
      </c>
      <c r="C19" s="103"/>
      <c r="D19" s="103">
        <f t="shared" si="1"/>
        <v>0</v>
      </c>
      <c r="E19" s="103">
        <f t="shared" si="0"/>
        <v>0</v>
      </c>
      <c r="F19" s="103"/>
      <c r="H19" s="134"/>
    </row>
    <row r="20" spans="1:8" x14ac:dyDescent="0.3">
      <c r="A20" s="105">
        <v>13</v>
      </c>
      <c r="B20" s="106" t="s">
        <v>130</v>
      </c>
      <c r="C20" s="103">
        <v>420000</v>
      </c>
      <c r="D20" s="103">
        <f t="shared" si="1"/>
        <v>101824.16427323602</v>
      </c>
      <c r="E20" s="103">
        <f t="shared" si="0"/>
        <v>102000</v>
      </c>
      <c r="F20" s="103">
        <v>800000</v>
      </c>
      <c r="H20" s="134"/>
    </row>
    <row r="21" spans="1:8" x14ac:dyDescent="0.3">
      <c r="A21" s="105">
        <v>14</v>
      </c>
      <c r="B21" s="106" t="s">
        <v>131</v>
      </c>
      <c r="C21" s="103"/>
      <c r="D21" s="103">
        <f t="shared" si="1"/>
        <v>0</v>
      </c>
      <c r="E21" s="103">
        <f t="shared" si="0"/>
        <v>0</v>
      </c>
      <c r="F21" s="103"/>
      <c r="H21" s="134"/>
    </row>
    <row r="22" spans="1:8" x14ac:dyDescent="0.3">
      <c r="A22" s="105">
        <v>15</v>
      </c>
      <c r="B22" s="106" t="s">
        <v>132</v>
      </c>
      <c r="C22" s="103"/>
      <c r="D22" s="103">
        <f t="shared" si="1"/>
        <v>0</v>
      </c>
      <c r="E22" s="103">
        <f t="shared" si="0"/>
        <v>0</v>
      </c>
      <c r="F22" s="103"/>
      <c r="H22" s="134"/>
    </row>
    <row r="23" spans="1:8" x14ac:dyDescent="0.3">
      <c r="A23" s="105">
        <v>16</v>
      </c>
      <c r="B23" s="106" t="s">
        <v>133</v>
      </c>
      <c r="C23" s="103">
        <v>80000</v>
      </c>
      <c r="D23" s="103">
        <f t="shared" si="1"/>
        <v>19395.078909187814</v>
      </c>
      <c r="E23" s="103">
        <f t="shared" si="0"/>
        <v>19500</v>
      </c>
      <c r="F23" s="103">
        <v>5500000</v>
      </c>
      <c r="H23" s="134"/>
    </row>
    <row r="24" spans="1:8" x14ac:dyDescent="0.3">
      <c r="A24" s="105">
        <v>17</v>
      </c>
      <c r="B24" s="106" t="s">
        <v>134</v>
      </c>
      <c r="C24" s="103">
        <v>600000</v>
      </c>
      <c r="D24" s="103">
        <f t="shared" si="1"/>
        <v>145463.09181890861</v>
      </c>
      <c r="E24" s="103">
        <f t="shared" si="0"/>
        <v>145500</v>
      </c>
      <c r="F24" s="103">
        <v>2000000</v>
      </c>
      <c r="H24" s="134"/>
    </row>
    <row r="25" spans="1:8" x14ac:dyDescent="0.3">
      <c r="A25" s="105">
        <v>18</v>
      </c>
      <c r="B25" s="106" t="s">
        <v>135</v>
      </c>
      <c r="C25" s="103"/>
      <c r="D25" s="103">
        <f t="shared" si="1"/>
        <v>0</v>
      </c>
      <c r="E25" s="103">
        <f t="shared" si="0"/>
        <v>0</v>
      </c>
      <c r="F25" s="103"/>
      <c r="H25" s="134"/>
    </row>
    <row r="26" spans="1:8" x14ac:dyDescent="0.3">
      <c r="A26" s="105">
        <v>19</v>
      </c>
      <c r="B26" s="106" t="s">
        <v>136</v>
      </c>
      <c r="C26" s="103">
        <v>1200000</v>
      </c>
      <c r="D26" s="103">
        <f t="shared" si="1"/>
        <v>290926.18363781722</v>
      </c>
      <c r="E26" s="103">
        <f t="shared" si="0"/>
        <v>291000</v>
      </c>
      <c r="F26" s="103">
        <v>7000000</v>
      </c>
      <c r="H26" s="134"/>
    </row>
    <row r="27" spans="1:8" x14ac:dyDescent="0.3">
      <c r="A27" s="105">
        <v>20</v>
      </c>
      <c r="B27" s="106" t="s">
        <v>137</v>
      </c>
      <c r="C27" s="103"/>
      <c r="D27" s="103">
        <f t="shared" si="1"/>
        <v>0</v>
      </c>
      <c r="E27" s="103">
        <f t="shared" si="0"/>
        <v>0</v>
      </c>
      <c r="F27" s="103"/>
      <c r="H27" s="134"/>
    </row>
    <row r="28" spans="1:8" x14ac:dyDescent="0.3">
      <c r="A28" s="105">
        <v>21</v>
      </c>
      <c r="B28" s="113" t="s">
        <v>138</v>
      </c>
      <c r="C28" s="103"/>
      <c r="D28" s="103">
        <f t="shared" si="1"/>
        <v>0</v>
      </c>
      <c r="E28" s="103">
        <f t="shared" si="0"/>
        <v>0</v>
      </c>
      <c r="F28" s="103"/>
      <c r="H28" s="134"/>
    </row>
    <row r="29" spans="1:8" x14ac:dyDescent="0.3">
      <c r="A29" s="105">
        <v>22</v>
      </c>
      <c r="B29" s="106" t="s">
        <v>139</v>
      </c>
      <c r="C29" s="103">
        <v>1080000</v>
      </c>
      <c r="D29" s="103">
        <f t="shared" si="1"/>
        <v>261833.56527403547</v>
      </c>
      <c r="E29" s="103">
        <f t="shared" si="0"/>
        <v>262000</v>
      </c>
      <c r="F29" s="103">
        <v>9000000</v>
      </c>
      <c r="H29" s="134"/>
    </row>
    <row r="30" spans="1:8" x14ac:dyDescent="0.3">
      <c r="A30" s="105">
        <v>23</v>
      </c>
      <c r="B30" s="106" t="s">
        <v>140</v>
      </c>
      <c r="C30" s="103">
        <v>380000</v>
      </c>
      <c r="D30" s="103">
        <f t="shared" si="1"/>
        <v>92126.624818642114</v>
      </c>
      <c r="E30" s="103">
        <f t="shared" si="0"/>
        <v>92000</v>
      </c>
      <c r="F30" s="103">
        <v>4400000</v>
      </c>
      <c r="H30" s="134"/>
    </row>
    <row r="31" spans="1:8" x14ac:dyDescent="0.3">
      <c r="A31" s="105">
        <v>24</v>
      </c>
      <c r="B31" s="106" t="s">
        <v>141</v>
      </c>
      <c r="C31" s="103">
        <v>200000</v>
      </c>
      <c r="D31" s="103">
        <f t="shared" si="1"/>
        <v>48487.697272969534</v>
      </c>
      <c r="E31" s="103">
        <f t="shared" si="0"/>
        <v>48500</v>
      </c>
      <c r="F31" s="103">
        <v>2500000</v>
      </c>
      <c r="H31" s="134"/>
    </row>
    <row r="32" spans="1:8" x14ac:dyDescent="0.3">
      <c r="A32" s="105">
        <v>25</v>
      </c>
      <c r="B32" s="106" t="s">
        <v>142</v>
      </c>
      <c r="C32" s="103">
        <v>36000</v>
      </c>
      <c r="D32" s="103">
        <f t="shared" si="1"/>
        <v>8727.7855091345155</v>
      </c>
      <c r="E32" s="103">
        <f t="shared" si="0"/>
        <v>8500</v>
      </c>
      <c r="F32" s="103">
        <v>0</v>
      </c>
      <c r="H32" s="134"/>
    </row>
    <row r="33" spans="1:8" x14ac:dyDescent="0.3">
      <c r="A33" s="105">
        <v>26</v>
      </c>
      <c r="B33" s="106" t="s">
        <v>143</v>
      </c>
      <c r="C33" s="103">
        <v>450000</v>
      </c>
      <c r="D33" s="103">
        <f t="shared" si="1"/>
        <v>109097.31886418145</v>
      </c>
      <c r="E33" s="103">
        <f t="shared" si="0"/>
        <v>109000</v>
      </c>
      <c r="F33" s="103"/>
      <c r="H33" s="134"/>
    </row>
    <row r="34" spans="1:8" x14ac:dyDescent="0.3">
      <c r="A34" s="105">
        <v>27</v>
      </c>
      <c r="B34" s="106" t="s">
        <v>144</v>
      </c>
      <c r="C34" s="103"/>
      <c r="D34" s="103">
        <f t="shared" si="1"/>
        <v>0</v>
      </c>
      <c r="E34" s="103">
        <f t="shared" si="0"/>
        <v>0</v>
      </c>
      <c r="F34" s="103"/>
      <c r="H34" s="134"/>
    </row>
    <row r="35" spans="1:8" x14ac:dyDescent="0.3">
      <c r="A35" s="105">
        <v>28</v>
      </c>
      <c r="B35" s="106" t="s">
        <v>145</v>
      </c>
      <c r="C35" s="103"/>
      <c r="D35" s="103">
        <f t="shared" si="1"/>
        <v>0</v>
      </c>
      <c r="E35" s="103">
        <f t="shared" si="0"/>
        <v>0</v>
      </c>
      <c r="F35" s="103"/>
      <c r="H35" s="134"/>
    </row>
    <row r="36" spans="1:8" x14ac:dyDescent="0.3">
      <c r="A36" s="105">
        <v>29</v>
      </c>
      <c r="B36" s="106" t="s">
        <v>146</v>
      </c>
      <c r="C36" s="103">
        <v>0</v>
      </c>
      <c r="D36" s="103">
        <f t="shared" si="1"/>
        <v>0</v>
      </c>
      <c r="E36" s="103">
        <f t="shared" si="0"/>
        <v>0</v>
      </c>
      <c r="F36" s="103"/>
      <c r="H36" s="134"/>
    </row>
    <row r="37" spans="1:8" x14ac:dyDescent="0.3">
      <c r="A37" s="105">
        <v>30</v>
      </c>
      <c r="B37" s="106" t="s">
        <v>147</v>
      </c>
      <c r="C37" s="103"/>
      <c r="D37" s="103">
        <f t="shared" si="1"/>
        <v>0</v>
      </c>
      <c r="E37" s="103">
        <f t="shared" si="0"/>
        <v>0</v>
      </c>
      <c r="F37" s="103"/>
      <c r="H37" s="134"/>
    </row>
    <row r="38" spans="1:8" x14ac:dyDescent="0.3">
      <c r="A38" s="105">
        <v>31</v>
      </c>
      <c r="B38" s="106" t="s">
        <v>148</v>
      </c>
      <c r="C38" s="103"/>
      <c r="D38" s="103">
        <f t="shared" si="1"/>
        <v>0</v>
      </c>
      <c r="E38" s="103">
        <f t="shared" si="0"/>
        <v>0</v>
      </c>
      <c r="F38" s="103"/>
      <c r="H38" s="134"/>
    </row>
    <row r="39" spans="1:8" x14ac:dyDescent="0.3">
      <c r="A39" s="105">
        <v>32</v>
      </c>
      <c r="B39" s="106" t="s">
        <v>149</v>
      </c>
      <c r="C39" s="103">
        <v>100000</v>
      </c>
      <c r="D39" s="103">
        <f t="shared" si="1"/>
        <v>24243.848636484767</v>
      </c>
      <c r="E39" s="103">
        <f t="shared" si="0"/>
        <v>24000</v>
      </c>
      <c r="F39" s="103">
        <v>0</v>
      </c>
      <c r="H39" s="134"/>
    </row>
    <row r="40" spans="1:8" x14ac:dyDescent="0.3">
      <c r="A40" s="105">
        <v>33</v>
      </c>
      <c r="B40" s="106" t="s">
        <v>150</v>
      </c>
      <c r="C40" s="103"/>
      <c r="D40" s="103">
        <f t="shared" si="1"/>
        <v>0</v>
      </c>
      <c r="E40" s="103">
        <f t="shared" si="0"/>
        <v>0</v>
      </c>
      <c r="F40" s="103"/>
      <c r="H40" s="134"/>
    </row>
    <row r="41" spans="1:8" x14ac:dyDescent="0.3">
      <c r="A41" s="105">
        <v>34</v>
      </c>
      <c r="B41" s="106" t="s">
        <v>151</v>
      </c>
      <c r="C41" s="103">
        <v>100000</v>
      </c>
      <c r="D41" s="103">
        <f t="shared" si="1"/>
        <v>24243.848636484767</v>
      </c>
      <c r="E41" s="103">
        <f t="shared" si="0"/>
        <v>24000</v>
      </c>
      <c r="F41" s="103">
        <v>4000000</v>
      </c>
      <c r="H41" s="134"/>
    </row>
    <row r="42" spans="1:8" x14ac:dyDescent="0.3">
      <c r="A42" s="105">
        <v>35</v>
      </c>
      <c r="B42" s="106" t="s">
        <v>152</v>
      </c>
      <c r="C42" s="103"/>
      <c r="D42" s="103">
        <f t="shared" si="1"/>
        <v>0</v>
      </c>
      <c r="E42" s="103">
        <f t="shared" si="0"/>
        <v>0</v>
      </c>
      <c r="F42" s="103"/>
      <c r="H42" s="134"/>
    </row>
    <row r="43" spans="1:8" x14ac:dyDescent="0.3">
      <c r="A43" s="105">
        <v>36</v>
      </c>
      <c r="B43" s="106" t="s">
        <v>153</v>
      </c>
      <c r="C43" s="103"/>
      <c r="D43" s="103">
        <f t="shared" si="1"/>
        <v>0</v>
      </c>
      <c r="E43" s="103">
        <f t="shared" si="0"/>
        <v>0</v>
      </c>
      <c r="F43" s="103"/>
      <c r="H43" s="134"/>
    </row>
    <row r="44" spans="1:8" x14ac:dyDescent="0.3">
      <c r="A44" s="105">
        <v>37</v>
      </c>
      <c r="B44" s="106" t="s">
        <v>154</v>
      </c>
      <c r="C44" s="103">
        <v>550000</v>
      </c>
      <c r="D44" s="103">
        <f t="shared" si="1"/>
        <v>133341.16750066623</v>
      </c>
      <c r="E44" s="103">
        <f t="shared" si="0"/>
        <v>133500</v>
      </c>
      <c r="F44" s="103">
        <v>2500000</v>
      </c>
      <c r="H44" s="134"/>
    </row>
    <row r="45" spans="1:8" x14ac:dyDescent="0.3">
      <c r="A45" s="105">
        <v>38</v>
      </c>
      <c r="B45" s="106" t="s">
        <v>155</v>
      </c>
      <c r="C45" s="103">
        <v>100000</v>
      </c>
      <c r="D45" s="103">
        <f t="shared" si="1"/>
        <v>24243.848636484767</v>
      </c>
      <c r="E45" s="103">
        <f t="shared" si="0"/>
        <v>24000</v>
      </c>
      <c r="F45" s="103">
        <v>4000000</v>
      </c>
      <c r="H45" s="134"/>
    </row>
    <row r="46" spans="1:8" x14ac:dyDescent="0.3">
      <c r="A46" s="105">
        <v>39</v>
      </c>
      <c r="B46" s="106" t="s">
        <v>156</v>
      </c>
      <c r="C46" s="103">
        <v>25000</v>
      </c>
      <c r="D46" s="103">
        <f t="shared" si="1"/>
        <v>6060.9621591211917</v>
      </c>
      <c r="E46" s="103">
        <f t="shared" si="0"/>
        <v>6000</v>
      </c>
      <c r="F46" s="103">
        <v>500000</v>
      </c>
      <c r="H46" s="134"/>
    </row>
    <row r="47" spans="1:8" x14ac:dyDescent="0.3">
      <c r="A47" s="105">
        <v>40</v>
      </c>
      <c r="B47" s="106" t="s">
        <v>157</v>
      </c>
      <c r="C47" s="103">
        <v>500000</v>
      </c>
      <c r="D47" s="103">
        <f t="shared" si="1"/>
        <v>121219.24318242383</v>
      </c>
      <c r="E47" s="103">
        <f t="shared" si="0"/>
        <v>121000</v>
      </c>
      <c r="F47" s="103">
        <v>0</v>
      </c>
      <c r="H47" s="134"/>
    </row>
    <row r="48" spans="1:8" x14ac:dyDescent="0.3">
      <c r="A48" s="105">
        <v>41</v>
      </c>
      <c r="B48" s="106" t="s">
        <v>158</v>
      </c>
      <c r="C48" s="103">
        <v>90000</v>
      </c>
      <c r="D48" s="103">
        <f t="shared" si="1"/>
        <v>21819.46377283629</v>
      </c>
      <c r="E48" s="103">
        <f t="shared" si="0"/>
        <v>22000</v>
      </c>
      <c r="F48" s="103"/>
      <c r="H48" s="134"/>
    </row>
    <row r="49" spans="1:8" x14ac:dyDescent="0.3">
      <c r="A49" s="105">
        <v>42</v>
      </c>
      <c r="B49" s="106" t="s">
        <v>159</v>
      </c>
      <c r="C49" s="103">
        <v>220000</v>
      </c>
      <c r="D49" s="103">
        <f t="shared" si="1"/>
        <v>53336.467000266486</v>
      </c>
      <c r="E49" s="103">
        <f t="shared" si="0"/>
        <v>53500</v>
      </c>
      <c r="F49" s="103">
        <v>0</v>
      </c>
      <c r="H49" s="134"/>
    </row>
    <row r="50" spans="1:8" x14ac:dyDescent="0.3">
      <c r="A50" s="105">
        <v>43</v>
      </c>
      <c r="B50" s="106" t="s">
        <v>160</v>
      </c>
      <c r="C50" s="103"/>
      <c r="D50" s="103">
        <f t="shared" si="1"/>
        <v>0</v>
      </c>
      <c r="E50" s="103">
        <f t="shared" si="0"/>
        <v>0</v>
      </c>
      <c r="F50" s="103"/>
      <c r="H50" s="134"/>
    </row>
    <row r="51" spans="1:8" x14ac:dyDescent="0.3">
      <c r="A51" s="105">
        <v>44</v>
      </c>
      <c r="B51" s="106" t="s">
        <v>161</v>
      </c>
      <c r="C51" s="103">
        <v>0</v>
      </c>
      <c r="D51" s="103">
        <f t="shared" si="1"/>
        <v>0</v>
      </c>
      <c r="E51" s="103">
        <f t="shared" si="0"/>
        <v>0</v>
      </c>
      <c r="F51" s="103"/>
      <c r="H51" s="134"/>
    </row>
    <row r="52" spans="1:8" x14ac:dyDescent="0.3">
      <c r="A52" s="105">
        <v>45</v>
      </c>
      <c r="B52" s="106" t="s">
        <v>162</v>
      </c>
      <c r="C52" s="103"/>
      <c r="D52" s="103">
        <f t="shared" si="1"/>
        <v>0</v>
      </c>
      <c r="E52" s="103">
        <f t="shared" si="0"/>
        <v>0</v>
      </c>
      <c r="F52" s="103"/>
      <c r="H52" s="134"/>
    </row>
    <row r="53" spans="1:8" x14ac:dyDescent="0.3">
      <c r="A53" s="105">
        <v>46</v>
      </c>
      <c r="B53" s="106" t="s">
        <v>163</v>
      </c>
      <c r="C53" s="103">
        <v>290000</v>
      </c>
      <c r="D53" s="103">
        <f t="shared" si="1"/>
        <v>70307.161045805828</v>
      </c>
      <c r="E53" s="103">
        <f t="shared" si="0"/>
        <v>70500</v>
      </c>
      <c r="F53" s="103">
        <v>1500000</v>
      </c>
      <c r="H53" s="134"/>
    </row>
    <row r="54" spans="1:8" x14ac:dyDescent="0.3">
      <c r="A54" s="105">
        <v>47</v>
      </c>
      <c r="B54" s="106" t="s">
        <v>164</v>
      </c>
      <c r="C54" s="103"/>
      <c r="D54" s="103">
        <f t="shared" si="1"/>
        <v>0</v>
      </c>
      <c r="E54" s="103">
        <f t="shared" si="0"/>
        <v>0</v>
      </c>
      <c r="F54" s="103"/>
      <c r="H54" s="134"/>
    </row>
    <row r="55" spans="1:8" x14ac:dyDescent="0.3">
      <c r="A55" s="105">
        <v>48</v>
      </c>
      <c r="B55" s="106" t="s">
        <v>165</v>
      </c>
      <c r="C55" s="103"/>
      <c r="D55" s="103">
        <f t="shared" si="1"/>
        <v>0</v>
      </c>
      <c r="E55" s="103">
        <f t="shared" si="0"/>
        <v>0</v>
      </c>
      <c r="F55" s="103"/>
      <c r="H55" s="134"/>
    </row>
    <row r="56" spans="1:8" x14ac:dyDescent="0.3">
      <c r="A56" s="105">
        <v>49</v>
      </c>
      <c r="B56" s="106" t="s">
        <v>166</v>
      </c>
      <c r="C56" s="103"/>
      <c r="D56" s="103">
        <f t="shared" si="1"/>
        <v>0</v>
      </c>
      <c r="E56" s="103">
        <f t="shared" si="0"/>
        <v>0</v>
      </c>
      <c r="F56" s="103"/>
      <c r="H56" s="134"/>
    </row>
    <row r="57" spans="1:8" x14ac:dyDescent="0.3">
      <c r="A57" s="105">
        <v>50</v>
      </c>
      <c r="B57" s="106" t="s">
        <v>167</v>
      </c>
      <c r="C57" s="103"/>
      <c r="D57" s="103">
        <f t="shared" si="1"/>
        <v>0</v>
      </c>
      <c r="E57" s="103">
        <f t="shared" si="0"/>
        <v>0</v>
      </c>
      <c r="F57" s="103"/>
      <c r="H57" s="134"/>
    </row>
    <row r="58" spans="1:8" x14ac:dyDescent="0.3">
      <c r="A58" s="105">
        <v>51</v>
      </c>
      <c r="B58" s="106" t="s">
        <v>168</v>
      </c>
      <c r="C58" s="103">
        <v>950000</v>
      </c>
      <c r="D58" s="103">
        <f t="shared" si="1"/>
        <v>230316.56204660528</v>
      </c>
      <c r="E58" s="103">
        <f t="shared" si="0"/>
        <v>230500</v>
      </c>
      <c r="F58" s="103">
        <v>2500000</v>
      </c>
      <c r="H58" s="134"/>
    </row>
    <row r="59" spans="1:8" x14ac:dyDescent="0.3">
      <c r="A59" s="105">
        <v>52</v>
      </c>
      <c r="B59" s="106" t="s">
        <v>169</v>
      </c>
      <c r="C59" s="103">
        <v>300000</v>
      </c>
      <c r="D59" s="103">
        <f t="shared" si="1"/>
        <v>72731.545909454304</v>
      </c>
      <c r="E59" s="103">
        <f t="shared" si="0"/>
        <v>72500</v>
      </c>
      <c r="F59" s="103">
        <v>0</v>
      </c>
      <c r="H59" s="134"/>
    </row>
    <row r="60" spans="1:8" x14ac:dyDescent="0.3">
      <c r="A60" s="105">
        <v>53</v>
      </c>
      <c r="B60" s="106" t="s">
        <v>170</v>
      </c>
      <c r="C60" s="103">
        <v>600000</v>
      </c>
      <c r="D60" s="103">
        <f t="shared" si="1"/>
        <v>145463.09181890861</v>
      </c>
      <c r="E60" s="103">
        <f t="shared" si="0"/>
        <v>145500</v>
      </c>
      <c r="F60" s="103">
        <v>1500000</v>
      </c>
      <c r="H60" s="134"/>
    </row>
    <row r="61" spans="1:8" x14ac:dyDescent="0.3">
      <c r="A61" s="105">
        <v>54</v>
      </c>
      <c r="B61" s="106" t="s">
        <v>171</v>
      </c>
      <c r="C61" s="103"/>
      <c r="D61" s="103">
        <f t="shared" si="1"/>
        <v>0</v>
      </c>
      <c r="E61" s="103">
        <f t="shared" si="0"/>
        <v>0</v>
      </c>
      <c r="F61" s="103"/>
      <c r="H61" s="134"/>
    </row>
    <row r="62" spans="1:8" x14ac:dyDescent="0.3">
      <c r="A62" s="105">
        <v>55</v>
      </c>
      <c r="B62" s="106" t="s">
        <v>172</v>
      </c>
      <c r="C62" s="103"/>
      <c r="D62" s="103">
        <f t="shared" si="1"/>
        <v>0</v>
      </c>
      <c r="E62" s="103">
        <f t="shared" si="0"/>
        <v>0</v>
      </c>
      <c r="F62" s="103"/>
      <c r="H62" s="134"/>
    </row>
    <row r="63" spans="1:8" x14ac:dyDescent="0.3">
      <c r="A63" s="105">
        <v>56</v>
      </c>
      <c r="B63" s="106" t="s">
        <v>173</v>
      </c>
      <c r="C63" s="103">
        <v>900000</v>
      </c>
      <c r="D63" s="103">
        <f t="shared" si="1"/>
        <v>218194.6377283629</v>
      </c>
      <c r="E63" s="103">
        <f t="shared" si="0"/>
        <v>218000</v>
      </c>
      <c r="F63" s="103">
        <v>0</v>
      </c>
      <c r="H63" s="134"/>
    </row>
    <row r="64" spans="1:8" x14ac:dyDescent="0.3">
      <c r="A64" s="105">
        <v>57</v>
      </c>
      <c r="B64" s="106" t="s">
        <v>174</v>
      </c>
      <c r="C64" s="103"/>
      <c r="D64" s="103">
        <f t="shared" si="1"/>
        <v>0</v>
      </c>
      <c r="E64" s="103">
        <f t="shared" si="0"/>
        <v>0</v>
      </c>
      <c r="F64" s="103"/>
      <c r="H64" s="134"/>
    </row>
    <row r="65" spans="1:8" x14ac:dyDescent="0.3">
      <c r="A65" s="105">
        <v>58</v>
      </c>
      <c r="B65" s="106" t="s">
        <v>175</v>
      </c>
      <c r="C65" s="103">
        <v>135000</v>
      </c>
      <c r="D65" s="103">
        <f t="shared" si="1"/>
        <v>32729.195659254434</v>
      </c>
      <c r="E65" s="103">
        <f t="shared" si="0"/>
        <v>32500</v>
      </c>
      <c r="F65" s="103">
        <v>1500000</v>
      </c>
      <c r="H65" s="134"/>
    </row>
    <row r="66" spans="1:8" x14ac:dyDescent="0.3">
      <c r="A66" s="105">
        <v>59</v>
      </c>
      <c r="B66" s="106" t="s">
        <v>176</v>
      </c>
      <c r="C66" s="103"/>
      <c r="D66" s="103">
        <f t="shared" si="1"/>
        <v>0</v>
      </c>
      <c r="E66" s="103">
        <f t="shared" si="0"/>
        <v>0</v>
      </c>
      <c r="F66" s="103"/>
      <c r="H66" s="134"/>
    </row>
    <row r="67" spans="1:8" x14ac:dyDescent="0.3">
      <c r="A67" s="105">
        <v>60</v>
      </c>
      <c r="B67" s="106" t="s">
        <v>177</v>
      </c>
      <c r="C67" s="103">
        <v>1200000</v>
      </c>
      <c r="D67" s="103">
        <f t="shared" si="1"/>
        <v>290926.18363781722</v>
      </c>
      <c r="E67" s="103">
        <f t="shared" si="0"/>
        <v>291000</v>
      </c>
      <c r="F67" s="103">
        <v>5000000</v>
      </c>
      <c r="H67" s="134"/>
    </row>
    <row r="68" spans="1:8" x14ac:dyDescent="0.3">
      <c r="A68" s="105">
        <v>61</v>
      </c>
      <c r="B68" s="106" t="s">
        <v>178</v>
      </c>
      <c r="C68" s="103">
        <v>350000</v>
      </c>
      <c r="D68" s="103">
        <f t="shared" si="1"/>
        <v>84853.470227696685</v>
      </c>
      <c r="E68" s="103">
        <f t="shared" si="0"/>
        <v>85000</v>
      </c>
      <c r="F68" s="103">
        <v>1500000</v>
      </c>
      <c r="H68" s="134"/>
    </row>
    <row r="69" spans="1:8" x14ac:dyDescent="0.3">
      <c r="A69" s="105">
        <v>62</v>
      </c>
      <c r="B69" s="106" t="s">
        <v>179</v>
      </c>
      <c r="C69" s="103">
        <v>750000</v>
      </c>
      <c r="D69" s="103">
        <f t="shared" si="1"/>
        <v>181828.86477363575</v>
      </c>
      <c r="E69" s="103">
        <f t="shared" si="0"/>
        <v>182000</v>
      </c>
      <c r="F69" s="103">
        <v>8000000</v>
      </c>
      <c r="H69" s="134"/>
    </row>
    <row r="70" spans="1:8" x14ac:dyDescent="0.3">
      <c r="A70" s="105">
        <v>63</v>
      </c>
      <c r="B70" s="106" t="s">
        <v>180</v>
      </c>
      <c r="C70" s="103"/>
      <c r="D70" s="103">
        <f t="shared" si="1"/>
        <v>0</v>
      </c>
      <c r="E70" s="103">
        <f t="shared" si="0"/>
        <v>0</v>
      </c>
      <c r="F70" s="103"/>
      <c r="H70" s="134"/>
    </row>
    <row r="71" spans="1:8" x14ac:dyDescent="0.3">
      <c r="A71" s="105">
        <v>64</v>
      </c>
      <c r="B71" s="106" t="s">
        <v>181</v>
      </c>
      <c r="C71" s="103">
        <v>150000</v>
      </c>
      <c r="D71" s="103">
        <f t="shared" si="1"/>
        <v>36365.772954727152</v>
      </c>
      <c r="E71" s="103">
        <f t="shared" si="0"/>
        <v>36500</v>
      </c>
      <c r="F71" s="103">
        <v>0</v>
      </c>
      <c r="H71" s="134"/>
    </row>
    <row r="72" spans="1:8" x14ac:dyDescent="0.3">
      <c r="A72" s="105">
        <v>65</v>
      </c>
      <c r="B72" s="106" t="s">
        <v>182</v>
      </c>
      <c r="C72" s="103">
        <v>340000</v>
      </c>
      <c r="D72" s="103">
        <f t="shared" si="1"/>
        <v>82429.085364048209</v>
      </c>
      <c r="E72" s="103">
        <f t="shared" si="0"/>
        <v>82500</v>
      </c>
      <c r="F72" s="103">
        <v>800000</v>
      </c>
      <c r="H72" s="134"/>
    </row>
    <row r="73" spans="1:8" x14ac:dyDescent="0.3">
      <c r="A73" s="105">
        <v>66</v>
      </c>
      <c r="B73" s="106" t="s">
        <v>183</v>
      </c>
      <c r="C73" s="103"/>
      <c r="D73" s="103">
        <f t="shared" ref="D73:D136" si="2">+C73*$J$4</f>
        <v>0</v>
      </c>
      <c r="E73" s="103">
        <f t="shared" ref="E73:E136" si="3">MROUND(D73,500)</f>
        <v>0</v>
      </c>
      <c r="F73" s="103"/>
      <c r="H73" s="134"/>
    </row>
    <row r="74" spans="1:8" x14ac:dyDescent="0.3">
      <c r="A74" s="105">
        <v>67</v>
      </c>
      <c r="B74" s="106" t="s">
        <v>184</v>
      </c>
      <c r="C74" s="103"/>
      <c r="D74" s="103">
        <f t="shared" si="2"/>
        <v>0</v>
      </c>
      <c r="E74" s="103">
        <f t="shared" si="3"/>
        <v>0</v>
      </c>
      <c r="F74" s="103"/>
      <c r="H74" s="134"/>
    </row>
    <row r="75" spans="1:8" x14ac:dyDescent="0.3">
      <c r="A75" s="105">
        <v>68</v>
      </c>
      <c r="B75" s="106" t="s">
        <v>185</v>
      </c>
      <c r="C75" s="103">
        <v>1100000</v>
      </c>
      <c r="D75" s="103">
        <f t="shared" si="2"/>
        <v>266682.33500133245</v>
      </c>
      <c r="E75" s="103">
        <f t="shared" si="3"/>
        <v>266500</v>
      </c>
      <c r="F75" s="103">
        <v>10000000</v>
      </c>
      <c r="H75" s="134"/>
    </row>
    <row r="76" spans="1:8" x14ac:dyDescent="0.3">
      <c r="A76" s="105">
        <v>69</v>
      </c>
      <c r="B76" s="106" t="s">
        <v>186</v>
      </c>
      <c r="C76" s="103">
        <v>600000</v>
      </c>
      <c r="D76" s="103">
        <f t="shared" si="2"/>
        <v>145463.09181890861</v>
      </c>
      <c r="E76" s="103">
        <f t="shared" si="3"/>
        <v>145500</v>
      </c>
      <c r="F76" s="103">
        <v>3800000</v>
      </c>
      <c r="H76" s="134"/>
    </row>
    <row r="77" spans="1:8" x14ac:dyDescent="0.3">
      <c r="A77" s="105">
        <v>70</v>
      </c>
      <c r="B77" s="106" t="s">
        <v>187</v>
      </c>
      <c r="C77" s="103"/>
      <c r="D77" s="103">
        <f t="shared" si="2"/>
        <v>0</v>
      </c>
      <c r="E77" s="103">
        <f t="shared" si="3"/>
        <v>0</v>
      </c>
      <c r="F77" s="103"/>
      <c r="H77" s="134"/>
    </row>
    <row r="78" spans="1:8" x14ac:dyDescent="0.3">
      <c r="A78" s="105">
        <v>71</v>
      </c>
      <c r="B78" s="106" t="s">
        <v>188</v>
      </c>
      <c r="C78" s="103">
        <v>1200000</v>
      </c>
      <c r="D78" s="103">
        <f t="shared" si="2"/>
        <v>290926.18363781722</v>
      </c>
      <c r="E78" s="103">
        <f t="shared" si="3"/>
        <v>291000</v>
      </c>
      <c r="F78" s="103">
        <v>9000000</v>
      </c>
      <c r="H78" s="134"/>
    </row>
    <row r="79" spans="1:8" x14ac:dyDescent="0.3">
      <c r="A79" s="105">
        <v>72</v>
      </c>
      <c r="B79" s="106" t="s">
        <v>189</v>
      </c>
      <c r="C79" s="103">
        <v>220000</v>
      </c>
      <c r="D79" s="103">
        <f t="shared" si="2"/>
        <v>53336.467000266486</v>
      </c>
      <c r="E79" s="103">
        <f t="shared" si="3"/>
        <v>53500</v>
      </c>
      <c r="F79" s="103">
        <v>0</v>
      </c>
      <c r="H79" s="134"/>
    </row>
    <row r="80" spans="1:8" x14ac:dyDescent="0.3">
      <c r="A80" s="105">
        <v>73</v>
      </c>
      <c r="B80" s="115" t="s">
        <v>190</v>
      </c>
      <c r="C80" s="103"/>
      <c r="D80" s="103">
        <f t="shared" si="2"/>
        <v>0</v>
      </c>
      <c r="E80" s="103">
        <f t="shared" si="3"/>
        <v>0</v>
      </c>
      <c r="F80" s="103"/>
      <c r="H80" s="134"/>
    </row>
    <row r="81" spans="1:8" x14ac:dyDescent="0.3">
      <c r="A81" s="105">
        <v>74</v>
      </c>
      <c r="B81" s="106" t="s">
        <v>191</v>
      </c>
      <c r="C81" s="103"/>
      <c r="D81" s="103">
        <f t="shared" si="2"/>
        <v>0</v>
      </c>
      <c r="E81" s="103">
        <f t="shared" si="3"/>
        <v>0</v>
      </c>
      <c r="F81" s="103"/>
      <c r="H81" s="134"/>
    </row>
    <row r="82" spans="1:8" x14ac:dyDescent="0.3">
      <c r="A82" s="105">
        <v>75</v>
      </c>
      <c r="B82" s="106" t="s">
        <v>192</v>
      </c>
      <c r="C82" s="103">
        <v>780000</v>
      </c>
      <c r="D82" s="103">
        <f t="shared" si="2"/>
        <v>189102.01936458118</v>
      </c>
      <c r="E82" s="103">
        <f t="shared" si="3"/>
        <v>189000</v>
      </c>
      <c r="F82" s="103">
        <v>5600000</v>
      </c>
      <c r="H82" s="134"/>
    </row>
    <row r="83" spans="1:8" x14ac:dyDescent="0.3">
      <c r="A83" s="105">
        <v>76</v>
      </c>
      <c r="B83" s="106" t="s">
        <v>193</v>
      </c>
      <c r="C83" s="103"/>
      <c r="D83" s="103">
        <f t="shared" si="2"/>
        <v>0</v>
      </c>
      <c r="E83" s="103">
        <f t="shared" si="3"/>
        <v>0</v>
      </c>
      <c r="F83" s="103"/>
      <c r="H83" s="134"/>
    </row>
    <row r="84" spans="1:8" x14ac:dyDescent="0.3">
      <c r="A84" s="105">
        <v>77</v>
      </c>
      <c r="B84" s="106" t="s">
        <v>194</v>
      </c>
      <c r="C84" s="103">
        <v>100000</v>
      </c>
      <c r="D84" s="103">
        <f t="shared" si="2"/>
        <v>24243.848636484767</v>
      </c>
      <c r="E84" s="103">
        <f t="shared" si="3"/>
        <v>24000</v>
      </c>
      <c r="F84" s="103">
        <v>9000000</v>
      </c>
      <c r="H84" s="134"/>
    </row>
    <row r="85" spans="1:8" x14ac:dyDescent="0.3">
      <c r="A85" s="105">
        <v>78</v>
      </c>
      <c r="B85" s="106" t="s">
        <v>195</v>
      </c>
      <c r="C85" s="103"/>
      <c r="D85" s="103">
        <f t="shared" si="2"/>
        <v>0</v>
      </c>
      <c r="E85" s="103">
        <f t="shared" si="3"/>
        <v>0</v>
      </c>
      <c r="F85" s="103"/>
      <c r="H85" s="134"/>
    </row>
    <row r="86" spans="1:8" x14ac:dyDescent="0.3">
      <c r="A86" s="105">
        <v>79</v>
      </c>
      <c r="B86" s="106" t="s">
        <v>196</v>
      </c>
      <c r="C86" s="103"/>
      <c r="D86" s="103">
        <f t="shared" si="2"/>
        <v>0</v>
      </c>
      <c r="E86" s="103">
        <f t="shared" si="3"/>
        <v>0</v>
      </c>
      <c r="F86" s="103"/>
      <c r="H86" s="134"/>
    </row>
    <row r="87" spans="1:8" x14ac:dyDescent="0.3">
      <c r="A87" s="105">
        <v>80</v>
      </c>
      <c r="B87" s="116" t="s">
        <v>197</v>
      </c>
      <c r="C87" s="103">
        <v>630000</v>
      </c>
      <c r="D87" s="103">
        <f t="shared" si="2"/>
        <v>152736.24640985404</v>
      </c>
      <c r="E87" s="103">
        <f t="shared" si="3"/>
        <v>152500</v>
      </c>
      <c r="F87" s="103">
        <v>2700000</v>
      </c>
      <c r="H87" s="134"/>
    </row>
    <row r="88" spans="1:8" x14ac:dyDescent="0.3">
      <c r="A88" s="105">
        <v>81</v>
      </c>
      <c r="B88" s="116" t="s">
        <v>198</v>
      </c>
      <c r="C88" s="103"/>
      <c r="D88" s="103">
        <f t="shared" si="2"/>
        <v>0</v>
      </c>
      <c r="E88" s="103">
        <f t="shared" si="3"/>
        <v>0</v>
      </c>
      <c r="F88" s="103"/>
      <c r="H88" s="134"/>
    </row>
    <row r="89" spans="1:8" x14ac:dyDescent="0.3">
      <c r="A89" s="105">
        <v>82</v>
      </c>
      <c r="B89" s="116" t="s">
        <v>199</v>
      </c>
      <c r="C89" s="103"/>
      <c r="D89" s="103">
        <f t="shared" si="2"/>
        <v>0</v>
      </c>
      <c r="E89" s="103">
        <f t="shared" si="3"/>
        <v>0</v>
      </c>
      <c r="F89" s="103"/>
      <c r="H89" s="134"/>
    </row>
    <row r="90" spans="1:8" x14ac:dyDescent="0.3">
      <c r="A90" s="117">
        <v>83</v>
      </c>
      <c r="B90" s="118" t="s">
        <v>200</v>
      </c>
      <c r="C90" s="103"/>
      <c r="D90" s="103">
        <f t="shared" si="2"/>
        <v>0</v>
      </c>
      <c r="E90" s="103">
        <f t="shared" si="3"/>
        <v>0</v>
      </c>
      <c r="F90" s="103"/>
      <c r="H90" s="134"/>
    </row>
    <row r="91" spans="1:8" x14ac:dyDescent="0.3">
      <c r="A91" s="117">
        <v>84</v>
      </c>
      <c r="B91" s="116" t="s">
        <v>201</v>
      </c>
      <c r="C91" s="103">
        <v>1200000</v>
      </c>
      <c r="D91" s="103">
        <f t="shared" si="2"/>
        <v>290926.18363781722</v>
      </c>
      <c r="E91" s="103">
        <f t="shared" si="3"/>
        <v>291000</v>
      </c>
      <c r="F91" s="103">
        <v>7500000</v>
      </c>
      <c r="H91" s="134"/>
    </row>
    <row r="92" spans="1:8" x14ac:dyDescent="0.3">
      <c r="A92" s="119">
        <v>85</v>
      </c>
      <c r="B92" s="118" t="s">
        <v>202</v>
      </c>
      <c r="C92" s="103"/>
      <c r="D92" s="103">
        <f t="shared" si="2"/>
        <v>0</v>
      </c>
      <c r="E92" s="103">
        <f t="shared" si="3"/>
        <v>0</v>
      </c>
      <c r="F92" s="103"/>
      <c r="H92" s="134"/>
    </row>
    <row r="93" spans="1:8" x14ac:dyDescent="0.3">
      <c r="A93" s="120">
        <v>86</v>
      </c>
      <c r="B93" s="118" t="s">
        <v>203</v>
      </c>
      <c r="C93" s="103">
        <v>90000</v>
      </c>
      <c r="D93" s="103">
        <f t="shared" si="2"/>
        <v>21819.46377283629</v>
      </c>
      <c r="E93" s="103">
        <f t="shared" si="3"/>
        <v>22000</v>
      </c>
      <c r="F93" s="103">
        <v>0</v>
      </c>
      <c r="H93" s="134"/>
    </row>
    <row r="94" spans="1:8" x14ac:dyDescent="0.3">
      <c r="A94" s="120">
        <v>87</v>
      </c>
      <c r="B94" s="118" t="s">
        <v>204</v>
      </c>
      <c r="C94" s="103">
        <v>800000</v>
      </c>
      <c r="D94" s="103">
        <f t="shared" si="2"/>
        <v>193950.78909187813</v>
      </c>
      <c r="E94" s="103">
        <f t="shared" si="3"/>
        <v>194000</v>
      </c>
      <c r="F94" s="103">
        <v>0</v>
      </c>
      <c r="H94" s="134"/>
    </row>
    <row r="95" spans="1:8" x14ac:dyDescent="0.3">
      <c r="A95" s="120">
        <v>88</v>
      </c>
      <c r="B95" s="118" t="s">
        <v>205</v>
      </c>
      <c r="C95" s="103"/>
      <c r="D95" s="103">
        <f t="shared" si="2"/>
        <v>0</v>
      </c>
      <c r="E95" s="103">
        <f t="shared" si="3"/>
        <v>0</v>
      </c>
      <c r="F95" s="103"/>
      <c r="H95" s="134"/>
    </row>
    <row r="96" spans="1:8" x14ac:dyDescent="0.3">
      <c r="A96" s="120">
        <v>89</v>
      </c>
      <c r="B96" s="118" t="s">
        <v>206</v>
      </c>
      <c r="C96" s="103">
        <v>1200000</v>
      </c>
      <c r="D96" s="103">
        <f t="shared" si="2"/>
        <v>290926.18363781722</v>
      </c>
      <c r="E96" s="103">
        <f t="shared" si="3"/>
        <v>291000</v>
      </c>
      <c r="F96" s="103">
        <v>8500000</v>
      </c>
      <c r="H96" s="134"/>
    </row>
    <row r="97" spans="1:8" x14ac:dyDescent="0.3">
      <c r="A97" s="120">
        <v>90</v>
      </c>
      <c r="B97" s="118" t="s">
        <v>207</v>
      </c>
      <c r="C97" s="103">
        <v>90000</v>
      </c>
      <c r="D97" s="103">
        <f t="shared" si="2"/>
        <v>21819.46377283629</v>
      </c>
      <c r="E97" s="103">
        <f t="shared" si="3"/>
        <v>22000</v>
      </c>
      <c r="F97" s="103">
        <v>2100000</v>
      </c>
      <c r="H97" s="134"/>
    </row>
    <row r="98" spans="1:8" x14ac:dyDescent="0.3">
      <c r="A98" s="120">
        <v>91</v>
      </c>
      <c r="B98" s="118" t="s">
        <v>208</v>
      </c>
      <c r="C98" s="103"/>
      <c r="D98" s="103">
        <f t="shared" si="2"/>
        <v>0</v>
      </c>
      <c r="E98" s="103">
        <f t="shared" si="3"/>
        <v>0</v>
      </c>
      <c r="F98" s="103">
        <v>2830000</v>
      </c>
      <c r="H98" s="134"/>
    </row>
    <row r="99" spans="1:8" x14ac:dyDescent="0.3">
      <c r="A99" s="120">
        <v>92</v>
      </c>
      <c r="B99" s="118" t="s">
        <v>209</v>
      </c>
      <c r="C99" s="103"/>
      <c r="D99" s="103">
        <f t="shared" si="2"/>
        <v>0</v>
      </c>
      <c r="E99" s="103">
        <f t="shared" si="3"/>
        <v>0</v>
      </c>
      <c r="F99" s="103"/>
      <c r="H99" s="134"/>
    </row>
    <row r="100" spans="1:8" x14ac:dyDescent="0.3">
      <c r="A100" s="120">
        <v>93</v>
      </c>
      <c r="B100" s="118" t="s">
        <v>210</v>
      </c>
      <c r="C100" s="103"/>
      <c r="D100" s="103">
        <f t="shared" si="2"/>
        <v>0</v>
      </c>
      <c r="E100" s="103">
        <f t="shared" si="3"/>
        <v>0</v>
      </c>
      <c r="F100" s="103"/>
      <c r="H100" s="134"/>
    </row>
    <row r="101" spans="1:8" x14ac:dyDescent="0.3">
      <c r="A101" s="120">
        <v>94</v>
      </c>
      <c r="B101" s="118" t="s">
        <v>211</v>
      </c>
      <c r="C101" s="103">
        <v>0</v>
      </c>
      <c r="D101" s="103">
        <f t="shared" si="2"/>
        <v>0</v>
      </c>
      <c r="E101" s="103">
        <f t="shared" si="3"/>
        <v>0</v>
      </c>
      <c r="F101" s="103"/>
      <c r="H101" s="134"/>
    </row>
    <row r="102" spans="1:8" x14ac:dyDescent="0.3">
      <c r="A102" s="120">
        <v>95</v>
      </c>
      <c r="B102" s="118" t="s">
        <v>212</v>
      </c>
      <c r="C102" s="103"/>
      <c r="D102" s="103">
        <f t="shared" si="2"/>
        <v>0</v>
      </c>
      <c r="E102" s="103">
        <f t="shared" si="3"/>
        <v>0</v>
      </c>
      <c r="F102" s="103"/>
      <c r="H102" s="134"/>
    </row>
    <row r="103" spans="1:8" x14ac:dyDescent="0.3">
      <c r="A103" s="121">
        <v>96</v>
      </c>
      <c r="B103" s="118" t="s">
        <v>213</v>
      </c>
      <c r="C103" s="103">
        <v>10000</v>
      </c>
      <c r="D103" s="103">
        <f t="shared" si="2"/>
        <v>2424.3848636484768</v>
      </c>
      <c r="E103" s="103">
        <f t="shared" si="3"/>
        <v>2500</v>
      </c>
      <c r="F103" s="103">
        <v>0</v>
      </c>
      <c r="H103" s="134"/>
    </row>
    <row r="104" spans="1:8" x14ac:dyDescent="0.3">
      <c r="A104" s="120">
        <v>97</v>
      </c>
      <c r="B104" s="118" t="s">
        <v>214</v>
      </c>
      <c r="C104" s="103"/>
      <c r="D104" s="103">
        <f t="shared" si="2"/>
        <v>0</v>
      </c>
      <c r="E104" s="103">
        <f t="shared" si="3"/>
        <v>0</v>
      </c>
      <c r="F104" s="103">
        <v>300000</v>
      </c>
      <c r="H104" s="134"/>
    </row>
    <row r="105" spans="1:8" x14ac:dyDescent="0.3">
      <c r="A105" s="120">
        <v>98</v>
      </c>
      <c r="B105" s="118" t="s">
        <v>215</v>
      </c>
      <c r="C105" s="103">
        <v>600000</v>
      </c>
      <c r="D105" s="103">
        <f t="shared" si="2"/>
        <v>145463.09181890861</v>
      </c>
      <c r="E105" s="103">
        <f t="shared" si="3"/>
        <v>145500</v>
      </c>
      <c r="F105" s="103">
        <v>2500000</v>
      </c>
      <c r="H105" s="134"/>
    </row>
    <row r="106" spans="1:8" x14ac:dyDescent="0.3">
      <c r="A106" s="120">
        <v>99</v>
      </c>
      <c r="B106" s="118" t="s">
        <v>216</v>
      </c>
      <c r="C106" s="103">
        <v>550000</v>
      </c>
      <c r="D106" s="103">
        <f t="shared" si="2"/>
        <v>133341.16750066623</v>
      </c>
      <c r="E106" s="103">
        <f t="shared" si="3"/>
        <v>133500</v>
      </c>
      <c r="F106" s="103">
        <v>1000000</v>
      </c>
      <c r="H106" s="134"/>
    </row>
    <row r="107" spans="1:8" x14ac:dyDescent="0.3">
      <c r="A107" s="120">
        <v>100</v>
      </c>
      <c r="B107" s="118" t="s">
        <v>217</v>
      </c>
      <c r="C107" s="103"/>
      <c r="D107" s="103">
        <f t="shared" si="2"/>
        <v>0</v>
      </c>
      <c r="E107" s="103">
        <f t="shared" si="3"/>
        <v>0</v>
      </c>
      <c r="F107" s="103"/>
      <c r="H107" s="134"/>
    </row>
    <row r="108" spans="1:8" x14ac:dyDescent="0.3">
      <c r="A108" s="120">
        <v>101</v>
      </c>
      <c r="B108" s="118" t="s">
        <v>218</v>
      </c>
      <c r="C108" s="103">
        <v>450000</v>
      </c>
      <c r="D108" s="103">
        <f t="shared" si="2"/>
        <v>109097.31886418145</v>
      </c>
      <c r="E108" s="103">
        <f t="shared" si="3"/>
        <v>109000</v>
      </c>
      <c r="F108" s="103">
        <v>1500000</v>
      </c>
      <c r="H108" s="134"/>
    </row>
    <row r="109" spans="1:8" x14ac:dyDescent="0.3">
      <c r="A109" s="120">
        <v>102</v>
      </c>
      <c r="B109" s="118" t="s">
        <v>219</v>
      </c>
      <c r="C109" s="103"/>
      <c r="D109" s="103">
        <f t="shared" si="2"/>
        <v>0</v>
      </c>
      <c r="E109" s="103">
        <f t="shared" si="3"/>
        <v>0</v>
      </c>
      <c r="F109" s="103"/>
      <c r="H109" s="134"/>
    </row>
    <row r="110" spans="1:8" x14ac:dyDescent="0.3">
      <c r="A110" s="120">
        <v>103</v>
      </c>
      <c r="B110" s="118" t="s">
        <v>220</v>
      </c>
      <c r="C110" s="103">
        <v>360000</v>
      </c>
      <c r="D110" s="103">
        <f t="shared" si="2"/>
        <v>87277.855091345162</v>
      </c>
      <c r="E110" s="103">
        <f t="shared" si="3"/>
        <v>87500</v>
      </c>
      <c r="F110" s="103">
        <v>1200000</v>
      </c>
      <c r="H110" s="134"/>
    </row>
    <row r="111" spans="1:8" x14ac:dyDescent="0.3">
      <c r="A111" s="121">
        <v>104</v>
      </c>
      <c r="B111" s="118" t="s">
        <v>221</v>
      </c>
      <c r="C111" s="103">
        <v>600000</v>
      </c>
      <c r="D111" s="103">
        <f t="shared" si="2"/>
        <v>145463.09181890861</v>
      </c>
      <c r="E111" s="103">
        <f t="shared" si="3"/>
        <v>145500</v>
      </c>
      <c r="F111" s="103">
        <v>6000000</v>
      </c>
      <c r="H111" s="134"/>
    </row>
    <row r="112" spans="1:8" x14ac:dyDescent="0.3">
      <c r="A112" s="120">
        <v>105</v>
      </c>
      <c r="B112" s="118" t="s">
        <v>222</v>
      </c>
      <c r="C112" s="103"/>
      <c r="D112" s="103">
        <f t="shared" si="2"/>
        <v>0</v>
      </c>
      <c r="E112" s="103">
        <f t="shared" si="3"/>
        <v>0</v>
      </c>
      <c r="F112" s="103"/>
      <c r="H112" s="134"/>
    </row>
    <row r="113" spans="1:8" x14ac:dyDescent="0.3">
      <c r="A113" s="120">
        <v>106</v>
      </c>
      <c r="B113" s="118" t="s">
        <v>223</v>
      </c>
      <c r="C113" s="103"/>
      <c r="D113" s="103">
        <f t="shared" si="2"/>
        <v>0</v>
      </c>
      <c r="E113" s="103">
        <f t="shared" si="3"/>
        <v>0</v>
      </c>
      <c r="F113" s="103"/>
      <c r="H113" s="134"/>
    </row>
    <row r="114" spans="1:8" x14ac:dyDescent="0.3">
      <c r="A114" s="120">
        <v>107</v>
      </c>
      <c r="B114" s="118" t="s">
        <v>224</v>
      </c>
      <c r="C114" s="103">
        <v>450000</v>
      </c>
      <c r="D114" s="103">
        <f t="shared" si="2"/>
        <v>109097.31886418145</v>
      </c>
      <c r="E114" s="103">
        <f t="shared" si="3"/>
        <v>109000</v>
      </c>
      <c r="F114" s="103">
        <v>0</v>
      </c>
      <c r="H114" s="134"/>
    </row>
    <row r="115" spans="1:8" x14ac:dyDescent="0.3">
      <c r="A115" s="121">
        <v>108</v>
      </c>
      <c r="B115" s="118" t="s">
        <v>225</v>
      </c>
      <c r="C115" s="103">
        <v>160000</v>
      </c>
      <c r="D115" s="103">
        <f t="shared" si="2"/>
        <v>38790.157818375628</v>
      </c>
      <c r="E115" s="103">
        <f t="shared" si="3"/>
        <v>39000</v>
      </c>
      <c r="F115" s="103">
        <v>0</v>
      </c>
      <c r="H115" s="134"/>
    </row>
    <row r="116" spans="1:8" x14ac:dyDescent="0.3">
      <c r="A116" s="120">
        <v>109</v>
      </c>
      <c r="B116" s="118" t="s">
        <v>226</v>
      </c>
      <c r="C116" s="103">
        <v>165000</v>
      </c>
      <c r="D116" s="103">
        <f t="shared" si="2"/>
        <v>40002.350250199866</v>
      </c>
      <c r="E116" s="103">
        <f t="shared" si="3"/>
        <v>40000</v>
      </c>
      <c r="F116" s="103">
        <v>1350000</v>
      </c>
      <c r="H116" s="134"/>
    </row>
    <row r="117" spans="1:8" x14ac:dyDescent="0.3">
      <c r="A117" s="120">
        <v>110</v>
      </c>
      <c r="B117" s="122" t="s">
        <v>227</v>
      </c>
      <c r="C117" s="103">
        <v>550000</v>
      </c>
      <c r="D117" s="103">
        <f t="shared" si="2"/>
        <v>133341.16750066623</v>
      </c>
      <c r="E117" s="103">
        <f t="shared" si="3"/>
        <v>133500</v>
      </c>
      <c r="F117" s="103">
        <v>4500000</v>
      </c>
      <c r="H117" s="134"/>
    </row>
    <row r="118" spans="1:8" x14ac:dyDescent="0.3">
      <c r="A118" s="120">
        <v>111</v>
      </c>
      <c r="B118" s="118" t="s">
        <v>228</v>
      </c>
      <c r="C118" s="103">
        <v>1100000</v>
      </c>
      <c r="D118" s="103">
        <f t="shared" si="2"/>
        <v>266682.33500133245</v>
      </c>
      <c r="E118" s="103">
        <f t="shared" si="3"/>
        <v>266500</v>
      </c>
      <c r="F118" s="103">
        <v>6000000</v>
      </c>
      <c r="H118" s="134"/>
    </row>
    <row r="119" spans="1:8" x14ac:dyDescent="0.3">
      <c r="A119" s="120">
        <v>112</v>
      </c>
      <c r="B119" s="118" t="s">
        <v>229</v>
      </c>
      <c r="C119" s="103">
        <v>830000</v>
      </c>
      <c r="D119" s="103">
        <f t="shared" si="2"/>
        <v>201223.94368282356</v>
      </c>
      <c r="E119" s="103">
        <f t="shared" si="3"/>
        <v>201000</v>
      </c>
      <c r="F119" s="103">
        <v>9000000</v>
      </c>
      <c r="H119" s="134"/>
    </row>
    <row r="120" spans="1:8" x14ac:dyDescent="0.3">
      <c r="A120" s="120">
        <v>113</v>
      </c>
      <c r="B120" s="118" t="s">
        <v>230</v>
      </c>
      <c r="C120" s="103">
        <v>500000</v>
      </c>
      <c r="D120" s="103">
        <f t="shared" si="2"/>
        <v>121219.24318242383</v>
      </c>
      <c r="E120" s="103">
        <f t="shared" si="3"/>
        <v>121000</v>
      </c>
      <c r="F120" s="103">
        <v>0</v>
      </c>
      <c r="H120" s="134"/>
    </row>
    <row r="121" spans="1:8" x14ac:dyDescent="0.3">
      <c r="A121" s="121">
        <v>114</v>
      </c>
      <c r="B121" s="118" t="s">
        <v>231</v>
      </c>
      <c r="C121" s="103"/>
      <c r="D121" s="103">
        <f t="shared" si="2"/>
        <v>0</v>
      </c>
      <c r="E121" s="103">
        <f t="shared" si="3"/>
        <v>0</v>
      </c>
      <c r="F121" s="103"/>
      <c r="H121" s="134"/>
    </row>
    <row r="122" spans="1:8" x14ac:dyDescent="0.3">
      <c r="A122" s="123">
        <v>115</v>
      </c>
      <c r="B122" s="118" t="s">
        <v>232</v>
      </c>
      <c r="C122" s="103"/>
      <c r="D122" s="103">
        <f t="shared" si="2"/>
        <v>0</v>
      </c>
      <c r="E122" s="103">
        <f t="shared" si="3"/>
        <v>0</v>
      </c>
      <c r="F122" s="103"/>
      <c r="H122" s="134"/>
    </row>
    <row r="123" spans="1:8" x14ac:dyDescent="0.3">
      <c r="A123" s="123">
        <v>116</v>
      </c>
      <c r="B123" s="118" t="s">
        <v>233</v>
      </c>
      <c r="C123" s="103">
        <v>50000</v>
      </c>
      <c r="D123" s="103">
        <f t="shared" si="2"/>
        <v>12121.924318242383</v>
      </c>
      <c r="E123" s="103">
        <f t="shared" si="3"/>
        <v>12000</v>
      </c>
      <c r="F123" s="103">
        <v>2050000</v>
      </c>
      <c r="H123" s="134"/>
    </row>
    <row r="124" spans="1:8" x14ac:dyDescent="0.3">
      <c r="A124" s="120">
        <v>117</v>
      </c>
      <c r="B124" s="118" t="s">
        <v>234</v>
      </c>
      <c r="C124" s="103">
        <v>600000</v>
      </c>
      <c r="D124" s="103">
        <f t="shared" si="2"/>
        <v>145463.09181890861</v>
      </c>
      <c r="E124" s="103">
        <f t="shared" si="3"/>
        <v>145500</v>
      </c>
      <c r="F124" s="103">
        <v>8000000</v>
      </c>
      <c r="H124" s="134"/>
    </row>
    <row r="125" spans="1:8" x14ac:dyDescent="0.3">
      <c r="A125" s="120">
        <v>118</v>
      </c>
      <c r="B125" s="118" t="s">
        <v>235</v>
      </c>
      <c r="C125" s="103"/>
      <c r="D125" s="103">
        <f t="shared" si="2"/>
        <v>0</v>
      </c>
      <c r="E125" s="103">
        <f t="shared" si="3"/>
        <v>0</v>
      </c>
      <c r="F125" s="103"/>
      <c r="H125" s="134"/>
    </row>
    <row r="126" spans="1:8" x14ac:dyDescent="0.3">
      <c r="A126" s="120">
        <v>119</v>
      </c>
      <c r="B126" s="118" t="s">
        <v>236</v>
      </c>
      <c r="C126" s="103"/>
      <c r="D126" s="103">
        <f t="shared" si="2"/>
        <v>0</v>
      </c>
      <c r="E126" s="103">
        <f t="shared" si="3"/>
        <v>0</v>
      </c>
      <c r="F126" s="103"/>
      <c r="H126" s="134"/>
    </row>
    <row r="127" spans="1:8" x14ac:dyDescent="0.3">
      <c r="A127" s="121">
        <v>120</v>
      </c>
      <c r="B127" s="118" t="s">
        <v>237</v>
      </c>
      <c r="C127" s="103">
        <v>290000</v>
      </c>
      <c r="D127" s="103">
        <f t="shared" si="2"/>
        <v>70307.161045805828</v>
      </c>
      <c r="E127" s="103">
        <f t="shared" si="3"/>
        <v>70500</v>
      </c>
      <c r="F127" s="103">
        <v>8100000</v>
      </c>
      <c r="H127" s="134"/>
    </row>
    <row r="128" spans="1:8" x14ac:dyDescent="0.3">
      <c r="A128" s="120">
        <v>121</v>
      </c>
      <c r="B128" s="118" t="s">
        <v>238</v>
      </c>
      <c r="C128" s="103">
        <v>120000</v>
      </c>
      <c r="D128" s="103">
        <f t="shared" si="2"/>
        <v>29092.618363781719</v>
      </c>
      <c r="E128" s="103">
        <f t="shared" si="3"/>
        <v>29000</v>
      </c>
      <c r="F128" s="103">
        <v>800000</v>
      </c>
      <c r="H128" s="134"/>
    </row>
    <row r="129" spans="1:8" x14ac:dyDescent="0.3">
      <c r="A129" s="121">
        <v>122</v>
      </c>
      <c r="B129" s="118" t="s">
        <v>239</v>
      </c>
      <c r="C129" s="103"/>
      <c r="D129" s="103">
        <f t="shared" si="2"/>
        <v>0</v>
      </c>
      <c r="E129" s="103">
        <f t="shared" si="3"/>
        <v>0</v>
      </c>
      <c r="F129" s="103"/>
      <c r="H129" s="134"/>
    </row>
    <row r="130" spans="1:8" x14ac:dyDescent="0.3">
      <c r="A130" s="120">
        <v>123</v>
      </c>
      <c r="B130" s="118" t="s">
        <v>240</v>
      </c>
      <c r="C130" s="103"/>
      <c r="D130" s="103">
        <f t="shared" si="2"/>
        <v>0</v>
      </c>
      <c r="E130" s="103">
        <f t="shared" si="3"/>
        <v>0</v>
      </c>
      <c r="F130" s="103"/>
      <c r="H130" s="134"/>
    </row>
    <row r="131" spans="1:8" x14ac:dyDescent="0.3">
      <c r="A131" s="120">
        <v>124</v>
      </c>
      <c r="B131" s="118" t="s">
        <v>241</v>
      </c>
      <c r="C131" s="103">
        <v>520000</v>
      </c>
      <c r="D131" s="103">
        <f t="shared" si="2"/>
        <v>126068.01290972078</v>
      </c>
      <c r="E131" s="103">
        <f t="shared" si="3"/>
        <v>126000</v>
      </c>
      <c r="F131" s="103">
        <v>900000</v>
      </c>
      <c r="H131" s="134"/>
    </row>
    <row r="132" spans="1:8" x14ac:dyDescent="0.3">
      <c r="A132" s="120">
        <v>125</v>
      </c>
      <c r="B132" s="118" t="s">
        <v>242</v>
      </c>
      <c r="C132" s="103">
        <v>1200000</v>
      </c>
      <c r="D132" s="103">
        <f t="shared" si="2"/>
        <v>290926.18363781722</v>
      </c>
      <c r="E132" s="103">
        <f t="shared" si="3"/>
        <v>291000</v>
      </c>
      <c r="F132" s="103">
        <v>8000000</v>
      </c>
      <c r="H132" s="134"/>
    </row>
    <row r="133" spans="1:8" x14ac:dyDescent="0.3">
      <c r="A133" s="120">
        <v>126</v>
      </c>
      <c r="B133" s="118" t="s">
        <v>243</v>
      </c>
      <c r="C133" s="103"/>
      <c r="D133" s="103">
        <f t="shared" si="2"/>
        <v>0</v>
      </c>
      <c r="E133" s="103">
        <f t="shared" si="3"/>
        <v>0</v>
      </c>
      <c r="F133" s="103">
        <v>1950000</v>
      </c>
      <c r="H133" s="134"/>
    </row>
    <row r="134" spans="1:8" x14ac:dyDescent="0.3">
      <c r="A134" s="120">
        <v>127</v>
      </c>
      <c r="B134" s="118" t="s">
        <v>244</v>
      </c>
      <c r="C134" s="103">
        <v>400000</v>
      </c>
      <c r="D134" s="103">
        <f t="shared" si="2"/>
        <v>96975.394545939067</v>
      </c>
      <c r="E134" s="103">
        <f t="shared" si="3"/>
        <v>97000</v>
      </c>
      <c r="F134" s="103">
        <v>7000000</v>
      </c>
      <c r="H134" s="134"/>
    </row>
    <row r="135" spans="1:8" x14ac:dyDescent="0.3">
      <c r="A135" s="120">
        <v>128</v>
      </c>
      <c r="B135" s="118" t="s">
        <v>245</v>
      </c>
      <c r="C135" s="103"/>
      <c r="D135" s="103">
        <f t="shared" si="2"/>
        <v>0</v>
      </c>
      <c r="E135" s="103">
        <f t="shared" si="3"/>
        <v>0</v>
      </c>
      <c r="F135" s="103">
        <v>5000000</v>
      </c>
      <c r="H135" s="134"/>
    </row>
    <row r="136" spans="1:8" x14ac:dyDescent="0.3">
      <c r="A136" s="120">
        <v>129</v>
      </c>
      <c r="B136" s="118" t="s">
        <v>246</v>
      </c>
      <c r="C136" s="103">
        <v>500000</v>
      </c>
      <c r="D136" s="103">
        <f t="shared" si="2"/>
        <v>121219.24318242383</v>
      </c>
      <c r="E136" s="103">
        <f t="shared" si="3"/>
        <v>121000</v>
      </c>
      <c r="F136" s="103">
        <v>1300000</v>
      </c>
      <c r="H136" s="134"/>
    </row>
    <row r="137" spans="1:8" x14ac:dyDescent="0.3">
      <c r="A137" s="120">
        <v>130</v>
      </c>
      <c r="B137" s="118" t="s">
        <v>247</v>
      </c>
      <c r="C137" s="103"/>
      <c r="D137" s="103">
        <f t="shared" ref="D137:D200" si="4">+C137*$J$4</f>
        <v>0</v>
      </c>
      <c r="E137" s="103">
        <f t="shared" ref="E137:E200" si="5">MROUND(D137,500)</f>
        <v>0</v>
      </c>
      <c r="F137" s="103"/>
      <c r="H137" s="134"/>
    </row>
    <row r="138" spans="1:8" x14ac:dyDescent="0.3">
      <c r="A138" s="120">
        <v>131</v>
      </c>
      <c r="B138" s="118" t="s">
        <v>248</v>
      </c>
      <c r="C138" s="103">
        <v>1100000</v>
      </c>
      <c r="D138" s="103">
        <f t="shared" si="4"/>
        <v>266682.33500133245</v>
      </c>
      <c r="E138" s="103">
        <f t="shared" si="5"/>
        <v>266500</v>
      </c>
      <c r="F138" s="103">
        <v>4000000</v>
      </c>
      <c r="H138" s="134"/>
    </row>
    <row r="139" spans="1:8" x14ac:dyDescent="0.3">
      <c r="A139" s="120">
        <v>132</v>
      </c>
      <c r="B139" s="118" t="s">
        <v>249</v>
      </c>
      <c r="C139" s="103">
        <v>900000</v>
      </c>
      <c r="D139" s="103">
        <f t="shared" si="4"/>
        <v>218194.6377283629</v>
      </c>
      <c r="E139" s="103">
        <f t="shared" si="5"/>
        <v>218000</v>
      </c>
      <c r="F139" s="103">
        <v>6000000</v>
      </c>
      <c r="H139" s="134"/>
    </row>
    <row r="140" spans="1:8" x14ac:dyDescent="0.3">
      <c r="A140" s="121">
        <v>133</v>
      </c>
      <c r="B140" s="118" t="s">
        <v>250</v>
      </c>
      <c r="C140" s="103">
        <v>1180000</v>
      </c>
      <c r="D140" s="103">
        <f t="shared" si="4"/>
        <v>286077.41391052026</v>
      </c>
      <c r="E140" s="103">
        <f t="shared" si="5"/>
        <v>286000</v>
      </c>
      <c r="F140" s="103">
        <v>10000000</v>
      </c>
      <c r="H140" s="134"/>
    </row>
    <row r="141" spans="1:8" x14ac:dyDescent="0.3">
      <c r="A141" s="120">
        <v>134</v>
      </c>
      <c r="B141" s="118" t="s">
        <v>251</v>
      </c>
      <c r="C141" s="103">
        <v>20000</v>
      </c>
      <c r="D141" s="103">
        <f t="shared" si="4"/>
        <v>4848.7697272969535</v>
      </c>
      <c r="E141" s="103">
        <f t="shared" si="5"/>
        <v>5000</v>
      </c>
      <c r="F141" s="103">
        <v>0</v>
      </c>
      <c r="H141" s="134"/>
    </row>
    <row r="142" spans="1:8" x14ac:dyDescent="0.3">
      <c r="A142" s="120">
        <v>135</v>
      </c>
      <c r="B142" s="118" t="s">
        <v>252</v>
      </c>
      <c r="C142" s="103"/>
      <c r="D142" s="103">
        <f t="shared" si="4"/>
        <v>0</v>
      </c>
      <c r="E142" s="103">
        <f t="shared" si="5"/>
        <v>0</v>
      </c>
      <c r="F142" s="103"/>
      <c r="H142" s="134"/>
    </row>
    <row r="143" spans="1:8" x14ac:dyDescent="0.3">
      <c r="A143" s="123">
        <v>136</v>
      </c>
      <c r="B143" s="118" t="s">
        <v>253</v>
      </c>
      <c r="C143" s="103">
        <v>40000</v>
      </c>
      <c r="D143" s="103">
        <f t="shared" si="4"/>
        <v>9697.5394545939071</v>
      </c>
      <c r="E143" s="103">
        <f t="shared" si="5"/>
        <v>9500</v>
      </c>
      <c r="F143" s="103">
        <v>1150000</v>
      </c>
      <c r="H143" s="134"/>
    </row>
    <row r="144" spans="1:8" x14ac:dyDescent="0.3">
      <c r="A144" s="120">
        <v>137</v>
      </c>
      <c r="B144" s="118" t="s">
        <v>254</v>
      </c>
      <c r="C144" s="103"/>
      <c r="D144" s="103">
        <f t="shared" si="4"/>
        <v>0</v>
      </c>
      <c r="E144" s="103">
        <f t="shared" si="5"/>
        <v>0</v>
      </c>
      <c r="F144" s="103"/>
      <c r="H144" s="134"/>
    </row>
    <row r="145" spans="1:8" x14ac:dyDescent="0.3">
      <c r="A145" s="120">
        <v>138</v>
      </c>
      <c r="B145" s="118" t="s">
        <v>255</v>
      </c>
      <c r="C145" s="103"/>
      <c r="D145" s="103">
        <f t="shared" si="4"/>
        <v>0</v>
      </c>
      <c r="E145" s="103">
        <f t="shared" si="5"/>
        <v>0</v>
      </c>
      <c r="F145" s="103"/>
      <c r="H145" s="134"/>
    </row>
    <row r="146" spans="1:8" x14ac:dyDescent="0.3">
      <c r="A146" s="120">
        <v>139</v>
      </c>
      <c r="B146" s="118" t="s">
        <v>256</v>
      </c>
      <c r="C146" s="103">
        <v>210000</v>
      </c>
      <c r="D146" s="103">
        <f t="shared" si="4"/>
        <v>50912.08213661801</v>
      </c>
      <c r="E146" s="103">
        <f t="shared" si="5"/>
        <v>51000</v>
      </c>
      <c r="F146" s="103">
        <v>1500000</v>
      </c>
      <c r="H146" s="134"/>
    </row>
    <row r="147" spans="1:8" x14ac:dyDescent="0.3">
      <c r="A147" s="124">
        <v>140</v>
      </c>
      <c r="B147" s="118" t="s">
        <v>257</v>
      </c>
      <c r="C147" s="103"/>
      <c r="D147" s="103">
        <f t="shared" si="4"/>
        <v>0</v>
      </c>
      <c r="E147" s="103">
        <f t="shared" si="5"/>
        <v>0</v>
      </c>
      <c r="F147" s="103"/>
      <c r="H147" s="134"/>
    </row>
    <row r="148" spans="1:8" x14ac:dyDescent="0.3">
      <c r="A148" s="123">
        <v>141</v>
      </c>
      <c r="B148" s="118" t="s">
        <v>258</v>
      </c>
      <c r="C148" s="103"/>
      <c r="D148" s="103">
        <f t="shared" si="4"/>
        <v>0</v>
      </c>
      <c r="E148" s="103">
        <f t="shared" si="5"/>
        <v>0</v>
      </c>
      <c r="F148" s="103"/>
      <c r="H148" s="134"/>
    </row>
    <row r="149" spans="1:8" x14ac:dyDescent="0.3">
      <c r="A149" s="123">
        <v>142</v>
      </c>
      <c r="B149" s="118" t="s">
        <v>259</v>
      </c>
      <c r="C149" s="103"/>
      <c r="D149" s="103">
        <f t="shared" si="4"/>
        <v>0</v>
      </c>
      <c r="E149" s="103">
        <f t="shared" si="5"/>
        <v>0</v>
      </c>
      <c r="F149" s="103"/>
      <c r="H149" s="134"/>
    </row>
    <row r="150" spans="1:8" x14ac:dyDescent="0.3">
      <c r="A150" s="120">
        <v>143</v>
      </c>
      <c r="B150" s="118" t="s">
        <v>260</v>
      </c>
      <c r="C150" s="103">
        <v>660000</v>
      </c>
      <c r="D150" s="103">
        <f t="shared" si="4"/>
        <v>160009.40100079947</v>
      </c>
      <c r="E150" s="103">
        <f t="shared" si="5"/>
        <v>160000</v>
      </c>
      <c r="F150" s="103">
        <v>2200000</v>
      </c>
      <c r="H150" s="134"/>
    </row>
    <row r="151" spans="1:8" x14ac:dyDescent="0.3">
      <c r="A151" s="120">
        <v>144</v>
      </c>
      <c r="B151" s="118" t="s">
        <v>261</v>
      </c>
      <c r="C151" s="103"/>
      <c r="D151" s="103">
        <f t="shared" si="4"/>
        <v>0</v>
      </c>
      <c r="E151" s="103">
        <f t="shared" si="5"/>
        <v>0</v>
      </c>
      <c r="F151" s="103"/>
      <c r="H151" s="134"/>
    </row>
    <row r="152" spans="1:8" x14ac:dyDescent="0.3">
      <c r="A152" s="120">
        <v>145</v>
      </c>
      <c r="B152" s="118" t="s">
        <v>262</v>
      </c>
      <c r="C152" s="103">
        <v>300000</v>
      </c>
      <c r="D152" s="103">
        <f t="shared" si="4"/>
        <v>72731.545909454304</v>
      </c>
      <c r="E152" s="103">
        <f t="shared" si="5"/>
        <v>72500</v>
      </c>
      <c r="F152" s="103">
        <v>3000000</v>
      </c>
      <c r="H152" s="134"/>
    </row>
    <row r="153" spans="1:8" x14ac:dyDescent="0.3">
      <c r="A153" s="120">
        <v>146</v>
      </c>
      <c r="B153" s="118" t="s">
        <v>263</v>
      </c>
      <c r="C153" s="103">
        <v>90000</v>
      </c>
      <c r="D153" s="103">
        <f t="shared" si="4"/>
        <v>21819.46377283629</v>
      </c>
      <c r="E153" s="103">
        <f t="shared" si="5"/>
        <v>22000</v>
      </c>
      <c r="F153" s="103">
        <v>0</v>
      </c>
      <c r="H153" s="134"/>
    </row>
    <row r="154" spans="1:8" x14ac:dyDescent="0.3">
      <c r="A154" s="121">
        <v>147</v>
      </c>
      <c r="B154" s="118" t="s">
        <v>264</v>
      </c>
      <c r="C154" s="103"/>
      <c r="D154" s="103">
        <f t="shared" si="4"/>
        <v>0</v>
      </c>
      <c r="E154" s="103">
        <f t="shared" si="5"/>
        <v>0</v>
      </c>
      <c r="F154" s="103"/>
      <c r="H154" s="134"/>
    </row>
    <row r="155" spans="1:8" x14ac:dyDescent="0.3">
      <c r="A155" s="120">
        <v>148</v>
      </c>
      <c r="B155" s="118" t="s">
        <v>265</v>
      </c>
      <c r="C155" s="103">
        <v>0</v>
      </c>
      <c r="D155" s="103">
        <f t="shared" si="4"/>
        <v>0</v>
      </c>
      <c r="E155" s="103">
        <f t="shared" si="5"/>
        <v>0</v>
      </c>
      <c r="F155" s="103"/>
      <c r="H155" s="134"/>
    </row>
    <row r="156" spans="1:8" x14ac:dyDescent="0.3">
      <c r="A156" s="120">
        <v>149</v>
      </c>
      <c r="B156" s="118" t="s">
        <v>266</v>
      </c>
      <c r="C156" s="103">
        <v>1300000</v>
      </c>
      <c r="D156" s="103">
        <f t="shared" si="4"/>
        <v>315170.03227430198</v>
      </c>
      <c r="E156" s="103">
        <f t="shared" si="5"/>
        <v>315000</v>
      </c>
      <c r="F156" s="103">
        <v>10000000</v>
      </c>
      <c r="H156" s="134"/>
    </row>
    <row r="157" spans="1:8" x14ac:dyDescent="0.3">
      <c r="A157" s="123">
        <v>150</v>
      </c>
      <c r="B157" s="118" t="s">
        <v>267</v>
      </c>
      <c r="C157" s="103"/>
      <c r="D157" s="103">
        <f t="shared" si="4"/>
        <v>0</v>
      </c>
      <c r="E157" s="103">
        <f t="shared" si="5"/>
        <v>0</v>
      </c>
      <c r="F157" s="103"/>
      <c r="H157" s="134"/>
    </row>
    <row r="158" spans="1:8" x14ac:dyDescent="0.3">
      <c r="A158" s="120">
        <v>151</v>
      </c>
      <c r="B158" s="118" t="s">
        <v>268</v>
      </c>
      <c r="C158" s="103">
        <v>980000</v>
      </c>
      <c r="D158" s="103">
        <f t="shared" si="4"/>
        <v>237589.71663755071</v>
      </c>
      <c r="E158" s="103">
        <f t="shared" si="5"/>
        <v>237500</v>
      </c>
      <c r="F158" s="103">
        <v>5000000</v>
      </c>
      <c r="H158" s="134"/>
    </row>
    <row r="159" spans="1:8" x14ac:dyDescent="0.3">
      <c r="A159" s="120">
        <v>152</v>
      </c>
      <c r="B159" s="118" t="s">
        <v>269</v>
      </c>
      <c r="C159" s="103">
        <v>420000</v>
      </c>
      <c r="D159" s="103">
        <f t="shared" si="4"/>
        <v>101824.16427323602</v>
      </c>
      <c r="E159" s="103">
        <f t="shared" si="5"/>
        <v>102000</v>
      </c>
      <c r="F159" s="103">
        <v>2400000</v>
      </c>
      <c r="H159" s="134"/>
    </row>
    <row r="160" spans="1:8" x14ac:dyDescent="0.3">
      <c r="A160" s="120">
        <v>153</v>
      </c>
      <c r="B160" s="118" t="s">
        <v>270</v>
      </c>
      <c r="C160" s="103"/>
      <c r="D160" s="103">
        <f t="shared" si="4"/>
        <v>0</v>
      </c>
      <c r="E160" s="103">
        <f t="shared" si="5"/>
        <v>0</v>
      </c>
      <c r="F160" s="103"/>
      <c r="H160" s="134"/>
    </row>
    <row r="161" spans="1:8" x14ac:dyDescent="0.3">
      <c r="A161" s="121">
        <v>154</v>
      </c>
      <c r="B161" s="118" t="s">
        <v>271</v>
      </c>
      <c r="C161" s="103">
        <v>250000</v>
      </c>
      <c r="D161" s="103">
        <f t="shared" si="4"/>
        <v>60609.621591211915</v>
      </c>
      <c r="E161" s="103">
        <f t="shared" si="5"/>
        <v>60500</v>
      </c>
      <c r="F161" s="103">
        <v>3000000</v>
      </c>
      <c r="H161" s="134"/>
    </row>
    <row r="162" spans="1:8" x14ac:dyDescent="0.3">
      <c r="A162" s="120">
        <v>155</v>
      </c>
      <c r="B162" s="118" t="s">
        <v>272</v>
      </c>
      <c r="C162" s="103">
        <v>150000</v>
      </c>
      <c r="D162" s="103">
        <f t="shared" si="4"/>
        <v>36365.772954727152</v>
      </c>
      <c r="E162" s="103">
        <f t="shared" si="5"/>
        <v>36500</v>
      </c>
      <c r="F162" s="103">
        <v>1500000</v>
      </c>
      <c r="H162" s="134"/>
    </row>
    <row r="163" spans="1:8" x14ac:dyDescent="0.3">
      <c r="A163" s="123">
        <v>156</v>
      </c>
      <c r="B163" s="118" t="s">
        <v>273</v>
      </c>
      <c r="C163" s="103">
        <v>100000</v>
      </c>
      <c r="D163" s="103">
        <f t="shared" si="4"/>
        <v>24243.848636484767</v>
      </c>
      <c r="E163" s="103">
        <f t="shared" si="5"/>
        <v>24000</v>
      </c>
      <c r="F163" s="103">
        <v>0</v>
      </c>
      <c r="H163" s="134"/>
    </row>
    <row r="164" spans="1:8" x14ac:dyDescent="0.3">
      <c r="A164" s="120">
        <v>157</v>
      </c>
      <c r="B164" s="118" t="s">
        <v>274</v>
      </c>
      <c r="C164" s="103"/>
      <c r="D164" s="103">
        <f t="shared" si="4"/>
        <v>0</v>
      </c>
      <c r="E164" s="103">
        <f t="shared" si="5"/>
        <v>0</v>
      </c>
      <c r="F164" s="103"/>
      <c r="H164" s="134"/>
    </row>
    <row r="165" spans="1:8" x14ac:dyDescent="0.3">
      <c r="A165" s="120">
        <v>158</v>
      </c>
      <c r="B165" s="118" t="s">
        <v>275</v>
      </c>
      <c r="C165" s="103"/>
      <c r="D165" s="103">
        <f t="shared" si="4"/>
        <v>0</v>
      </c>
      <c r="E165" s="103">
        <f t="shared" si="5"/>
        <v>0</v>
      </c>
      <c r="F165" s="103"/>
      <c r="H165" s="134"/>
    </row>
    <row r="166" spans="1:8" x14ac:dyDescent="0.3">
      <c r="A166" s="120">
        <v>159</v>
      </c>
      <c r="B166" s="118" t="s">
        <v>276</v>
      </c>
      <c r="C166" s="103">
        <v>1200000</v>
      </c>
      <c r="D166" s="103">
        <f t="shared" si="4"/>
        <v>290926.18363781722</v>
      </c>
      <c r="E166" s="103">
        <f t="shared" si="5"/>
        <v>291000</v>
      </c>
      <c r="F166" s="103">
        <v>5000000</v>
      </c>
      <c r="H166" s="134"/>
    </row>
    <row r="167" spans="1:8" x14ac:dyDescent="0.3">
      <c r="A167" s="120">
        <v>160</v>
      </c>
      <c r="B167" s="118" t="s">
        <v>277</v>
      </c>
      <c r="C167" s="103"/>
      <c r="D167" s="103">
        <f t="shared" si="4"/>
        <v>0</v>
      </c>
      <c r="E167" s="103">
        <f t="shared" si="5"/>
        <v>0</v>
      </c>
      <c r="F167" s="103"/>
      <c r="H167" s="134"/>
    </row>
    <row r="168" spans="1:8" x14ac:dyDescent="0.3">
      <c r="A168" s="125">
        <v>161</v>
      </c>
      <c r="B168" s="118" t="s">
        <v>278</v>
      </c>
      <c r="C168" s="103"/>
      <c r="D168" s="103">
        <f t="shared" si="4"/>
        <v>0</v>
      </c>
      <c r="E168" s="103">
        <f t="shared" si="5"/>
        <v>0</v>
      </c>
      <c r="F168" s="103"/>
      <c r="H168" s="134"/>
    </row>
    <row r="169" spans="1:8" x14ac:dyDescent="0.3">
      <c r="A169" s="123">
        <v>162</v>
      </c>
      <c r="B169" s="118" t="s">
        <v>279</v>
      </c>
      <c r="C169" s="103">
        <v>1200000</v>
      </c>
      <c r="D169" s="103">
        <f t="shared" si="4"/>
        <v>290926.18363781722</v>
      </c>
      <c r="E169" s="103">
        <f t="shared" si="5"/>
        <v>291000</v>
      </c>
      <c r="F169" s="103">
        <v>10000000</v>
      </c>
      <c r="H169" s="134"/>
    </row>
    <row r="170" spans="1:8" x14ac:dyDescent="0.3">
      <c r="A170" s="123">
        <v>163</v>
      </c>
      <c r="B170" s="118" t="s">
        <v>280</v>
      </c>
      <c r="C170" s="103">
        <v>1300000</v>
      </c>
      <c r="D170" s="103">
        <f t="shared" si="4"/>
        <v>315170.03227430198</v>
      </c>
      <c r="E170" s="103">
        <f t="shared" si="5"/>
        <v>315000</v>
      </c>
      <c r="F170" s="103">
        <v>9000000</v>
      </c>
      <c r="H170" s="134"/>
    </row>
    <row r="171" spans="1:8" x14ac:dyDescent="0.3">
      <c r="A171" s="123">
        <v>164</v>
      </c>
      <c r="B171" s="118" t="s">
        <v>281</v>
      </c>
      <c r="C171" s="103">
        <v>45000</v>
      </c>
      <c r="D171" s="103">
        <f t="shared" si="4"/>
        <v>10909.731886418145</v>
      </c>
      <c r="E171" s="103">
        <f t="shared" si="5"/>
        <v>11000</v>
      </c>
      <c r="F171" s="103">
        <v>0</v>
      </c>
      <c r="H171" s="134"/>
    </row>
    <row r="172" spans="1:8" x14ac:dyDescent="0.3">
      <c r="A172" s="126">
        <v>165</v>
      </c>
      <c r="B172" s="118" t="s">
        <v>282</v>
      </c>
      <c r="C172" s="103">
        <v>1100000</v>
      </c>
      <c r="D172" s="103">
        <f t="shared" si="4"/>
        <v>266682.33500133245</v>
      </c>
      <c r="E172" s="103">
        <f t="shared" si="5"/>
        <v>266500</v>
      </c>
      <c r="F172" s="103">
        <v>7000000</v>
      </c>
      <c r="H172" s="134"/>
    </row>
    <row r="173" spans="1:8" x14ac:dyDescent="0.3">
      <c r="A173" s="123">
        <v>166</v>
      </c>
      <c r="B173" s="118" t="s">
        <v>283</v>
      </c>
      <c r="C173" s="103"/>
      <c r="D173" s="103">
        <f t="shared" si="4"/>
        <v>0</v>
      </c>
      <c r="E173" s="103">
        <f t="shared" si="5"/>
        <v>0</v>
      </c>
      <c r="F173" s="103"/>
      <c r="H173" s="134"/>
    </row>
    <row r="174" spans="1:8" x14ac:dyDescent="0.3">
      <c r="A174" s="120">
        <v>167</v>
      </c>
      <c r="B174" s="118" t="s">
        <v>284</v>
      </c>
      <c r="C174" s="103">
        <v>310000</v>
      </c>
      <c r="D174" s="103">
        <f t="shared" si="4"/>
        <v>75155.93077310278</v>
      </c>
      <c r="E174" s="103">
        <f t="shared" si="5"/>
        <v>75000</v>
      </c>
      <c r="F174" s="103">
        <v>3500000</v>
      </c>
      <c r="H174" s="134"/>
    </row>
    <row r="175" spans="1:8" x14ac:dyDescent="0.3">
      <c r="A175" s="123">
        <v>168</v>
      </c>
      <c r="B175" s="118" t="s">
        <v>285</v>
      </c>
      <c r="C175" s="103">
        <v>1050000</v>
      </c>
      <c r="D175" s="103">
        <f t="shared" si="4"/>
        <v>254560.41068309004</v>
      </c>
      <c r="E175" s="103">
        <f t="shared" si="5"/>
        <v>254500</v>
      </c>
      <c r="F175" s="103">
        <v>2000000</v>
      </c>
      <c r="H175" s="134"/>
    </row>
    <row r="176" spans="1:8" x14ac:dyDescent="0.3">
      <c r="A176" s="120">
        <v>169</v>
      </c>
      <c r="B176" s="118" t="s">
        <v>286</v>
      </c>
      <c r="C176" s="103">
        <v>160000</v>
      </c>
      <c r="D176" s="103">
        <f t="shared" si="4"/>
        <v>38790.157818375628</v>
      </c>
      <c r="E176" s="103">
        <f t="shared" si="5"/>
        <v>39000</v>
      </c>
      <c r="F176" s="103">
        <v>4000000</v>
      </c>
      <c r="H176" s="134"/>
    </row>
    <row r="177" spans="1:8" x14ac:dyDescent="0.3">
      <c r="A177" s="120">
        <v>170</v>
      </c>
      <c r="B177" s="118" t="s">
        <v>287</v>
      </c>
      <c r="C177" s="103"/>
      <c r="D177" s="103">
        <f t="shared" si="4"/>
        <v>0</v>
      </c>
      <c r="E177" s="103">
        <f t="shared" si="5"/>
        <v>0</v>
      </c>
      <c r="F177" s="103"/>
      <c r="H177" s="134"/>
    </row>
    <row r="178" spans="1:8" x14ac:dyDescent="0.3">
      <c r="A178" s="123">
        <v>171</v>
      </c>
      <c r="B178" s="118" t="s">
        <v>288</v>
      </c>
      <c r="C178" s="103">
        <v>70000</v>
      </c>
      <c r="D178" s="103">
        <f t="shared" si="4"/>
        <v>16970.694045539338</v>
      </c>
      <c r="E178" s="103">
        <f t="shared" si="5"/>
        <v>17000</v>
      </c>
      <c r="F178" s="103">
        <v>2800000</v>
      </c>
      <c r="H178" s="134"/>
    </row>
    <row r="179" spans="1:8" x14ac:dyDescent="0.3">
      <c r="A179" s="123">
        <v>172</v>
      </c>
      <c r="B179" s="118" t="s">
        <v>289</v>
      </c>
      <c r="C179" s="103"/>
      <c r="D179" s="103">
        <f t="shared" si="4"/>
        <v>0</v>
      </c>
      <c r="E179" s="103">
        <f t="shared" si="5"/>
        <v>0</v>
      </c>
      <c r="F179" s="103"/>
      <c r="H179" s="134"/>
    </row>
    <row r="180" spans="1:8" x14ac:dyDescent="0.3">
      <c r="A180" s="120">
        <v>173</v>
      </c>
      <c r="B180" s="118" t="s">
        <v>290</v>
      </c>
      <c r="C180" s="103">
        <v>200000</v>
      </c>
      <c r="D180" s="103">
        <f t="shared" si="4"/>
        <v>48487.697272969534</v>
      </c>
      <c r="E180" s="103">
        <f t="shared" si="5"/>
        <v>48500</v>
      </c>
      <c r="F180" s="103">
        <v>0</v>
      </c>
      <c r="H180" s="134"/>
    </row>
    <row r="181" spans="1:8" x14ac:dyDescent="0.3">
      <c r="A181" s="121">
        <v>174</v>
      </c>
      <c r="B181" s="118" t="s">
        <v>291</v>
      </c>
      <c r="C181" s="103">
        <v>750000</v>
      </c>
      <c r="D181" s="103">
        <f t="shared" si="4"/>
        <v>181828.86477363575</v>
      </c>
      <c r="E181" s="103">
        <f t="shared" si="5"/>
        <v>182000</v>
      </c>
      <c r="F181" s="103">
        <v>2000000</v>
      </c>
      <c r="H181" s="134"/>
    </row>
    <row r="182" spans="1:8" x14ac:dyDescent="0.3">
      <c r="A182" s="123">
        <v>175</v>
      </c>
      <c r="B182" s="118" t="s">
        <v>292</v>
      </c>
      <c r="C182" s="103"/>
      <c r="D182" s="103">
        <f t="shared" si="4"/>
        <v>0</v>
      </c>
      <c r="E182" s="103">
        <f t="shared" si="5"/>
        <v>0</v>
      </c>
      <c r="F182" s="103"/>
      <c r="H182" s="134"/>
    </row>
    <row r="183" spans="1:8" x14ac:dyDescent="0.3">
      <c r="A183" s="120">
        <v>176</v>
      </c>
      <c r="B183" s="118" t="s">
        <v>293</v>
      </c>
      <c r="C183" s="103">
        <v>250000</v>
      </c>
      <c r="D183" s="103">
        <f t="shared" si="4"/>
        <v>60609.621591211915</v>
      </c>
      <c r="E183" s="103">
        <f t="shared" si="5"/>
        <v>60500</v>
      </c>
      <c r="F183" s="103">
        <v>0</v>
      </c>
      <c r="H183" s="134"/>
    </row>
    <row r="184" spans="1:8" x14ac:dyDescent="0.3">
      <c r="A184" s="120">
        <v>177</v>
      </c>
      <c r="B184" s="118" t="s">
        <v>294</v>
      </c>
      <c r="C184" s="103"/>
      <c r="D184" s="103">
        <f t="shared" si="4"/>
        <v>0</v>
      </c>
      <c r="E184" s="103">
        <f t="shared" si="5"/>
        <v>0</v>
      </c>
      <c r="F184" s="103"/>
      <c r="H184" s="134"/>
    </row>
    <row r="185" spans="1:8" x14ac:dyDescent="0.3">
      <c r="A185" s="123">
        <v>178</v>
      </c>
      <c r="B185" s="118" t="s">
        <v>295</v>
      </c>
      <c r="C185" s="103"/>
      <c r="D185" s="103">
        <f t="shared" si="4"/>
        <v>0</v>
      </c>
      <c r="E185" s="103">
        <f t="shared" si="5"/>
        <v>0</v>
      </c>
      <c r="F185" s="103"/>
      <c r="H185" s="134"/>
    </row>
    <row r="186" spans="1:8" x14ac:dyDescent="0.3">
      <c r="A186" s="123">
        <v>179</v>
      </c>
      <c r="B186" s="118" t="s">
        <v>296</v>
      </c>
      <c r="C186" s="103"/>
      <c r="D186" s="103">
        <f t="shared" si="4"/>
        <v>0</v>
      </c>
      <c r="E186" s="103">
        <f t="shared" si="5"/>
        <v>0</v>
      </c>
      <c r="F186" s="103"/>
      <c r="H186" s="134"/>
    </row>
    <row r="187" spans="1:8" x14ac:dyDescent="0.3">
      <c r="A187" s="123">
        <v>180</v>
      </c>
      <c r="B187" s="118" t="s">
        <v>297</v>
      </c>
      <c r="C187" s="103">
        <v>1200000</v>
      </c>
      <c r="D187" s="103">
        <f t="shared" si="4"/>
        <v>290926.18363781722</v>
      </c>
      <c r="E187" s="103">
        <f t="shared" si="5"/>
        <v>291000</v>
      </c>
      <c r="F187" s="103">
        <v>2000000</v>
      </c>
      <c r="H187" s="134"/>
    </row>
    <row r="188" spans="1:8" x14ac:dyDescent="0.3">
      <c r="A188" s="120">
        <v>181</v>
      </c>
      <c r="B188" s="118" t="s">
        <v>298</v>
      </c>
      <c r="C188" s="103"/>
      <c r="D188" s="103">
        <f t="shared" si="4"/>
        <v>0</v>
      </c>
      <c r="E188" s="103">
        <f t="shared" si="5"/>
        <v>0</v>
      </c>
      <c r="F188" s="103"/>
      <c r="H188" s="134"/>
    </row>
    <row r="189" spans="1:8" x14ac:dyDescent="0.3">
      <c r="A189" s="120">
        <v>182</v>
      </c>
      <c r="B189" s="118" t="s">
        <v>299</v>
      </c>
      <c r="C189" s="103">
        <v>700000</v>
      </c>
      <c r="D189" s="103">
        <f t="shared" si="4"/>
        <v>169706.94045539337</v>
      </c>
      <c r="E189" s="103">
        <f t="shared" si="5"/>
        <v>169500</v>
      </c>
      <c r="F189" s="103">
        <v>0</v>
      </c>
      <c r="H189" s="134"/>
    </row>
    <row r="190" spans="1:8" x14ac:dyDescent="0.3">
      <c r="A190" s="123">
        <v>183</v>
      </c>
      <c r="B190" s="118" t="s">
        <v>300</v>
      </c>
      <c r="C190" s="103">
        <v>820000</v>
      </c>
      <c r="D190" s="103">
        <f t="shared" si="4"/>
        <v>198799.55881917509</v>
      </c>
      <c r="E190" s="103">
        <f t="shared" si="5"/>
        <v>199000</v>
      </c>
      <c r="F190" s="103">
        <v>6000000</v>
      </c>
      <c r="H190" s="134"/>
    </row>
    <row r="191" spans="1:8" x14ac:dyDescent="0.3">
      <c r="A191" s="120">
        <v>184</v>
      </c>
      <c r="B191" s="118" t="s">
        <v>301</v>
      </c>
      <c r="C191" s="103"/>
      <c r="D191" s="103">
        <f t="shared" si="4"/>
        <v>0</v>
      </c>
      <c r="E191" s="103">
        <f t="shared" si="5"/>
        <v>0</v>
      </c>
      <c r="F191" s="103"/>
      <c r="H191" s="134"/>
    </row>
    <row r="192" spans="1:8" x14ac:dyDescent="0.3">
      <c r="A192" s="123">
        <v>185</v>
      </c>
      <c r="B192" s="118" t="s">
        <v>302</v>
      </c>
      <c r="C192" s="103">
        <v>1050000</v>
      </c>
      <c r="D192" s="103">
        <f t="shared" si="4"/>
        <v>254560.41068309004</v>
      </c>
      <c r="E192" s="103">
        <f t="shared" si="5"/>
        <v>254500</v>
      </c>
      <c r="F192" s="103">
        <v>5400000</v>
      </c>
      <c r="H192" s="134"/>
    </row>
    <row r="193" spans="1:8" x14ac:dyDescent="0.3">
      <c r="A193" s="123">
        <v>186</v>
      </c>
      <c r="B193" s="118" t="s">
        <v>303</v>
      </c>
      <c r="C193" s="103">
        <v>365000</v>
      </c>
      <c r="D193" s="103">
        <f t="shared" si="4"/>
        <v>88490.0475231694</v>
      </c>
      <c r="E193" s="103">
        <f t="shared" si="5"/>
        <v>88500</v>
      </c>
      <c r="F193" s="103">
        <v>1250000</v>
      </c>
      <c r="H193" s="134"/>
    </row>
    <row r="194" spans="1:8" x14ac:dyDescent="0.3">
      <c r="A194" s="123">
        <v>187</v>
      </c>
      <c r="B194" s="118" t="s">
        <v>304</v>
      </c>
      <c r="C194" s="103"/>
      <c r="D194" s="103">
        <f t="shared" si="4"/>
        <v>0</v>
      </c>
      <c r="E194" s="103">
        <f t="shared" si="5"/>
        <v>0</v>
      </c>
      <c r="F194" s="103"/>
      <c r="H194" s="134"/>
    </row>
    <row r="195" spans="1:8" x14ac:dyDescent="0.3">
      <c r="A195" s="123">
        <v>188</v>
      </c>
      <c r="B195" s="118" t="s">
        <v>305</v>
      </c>
      <c r="C195" s="103"/>
      <c r="D195" s="103">
        <f t="shared" si="4"/>
        <v>0</v>
      </c>
      <c r="E195" s="103">
        <f t="shared" si="5"/>
        <v>0</v>
      </c>
      <c r="F195" s="103"/>
      <c r="H195" s="134"/>
    </row>
    <row r="196" spans="1:8" x14ac:dyDescent="0.3">
      <c r="A196" s="123">
        <v>189</v>
      </c>
      <c r="B196" s="118" t="s">
        <v>306</v>
      </c>
      <c r="C196" s="103">
        <v>510000</v>
      </c>
      <c r="D196" s="103">
        <f t="shared" si="4"/>
        <v>123643.62804607231</v>
      </c>
      <c r="E196" s="103">
        <f t="shared" si="5"/>
        <v>123500</v>
      </c>
      <c r="F196" s="103">
        <v>2100000</v>
      </c>
      <c r="H196" s="134"/>
    </row>
    <row r="197" spans="1:8" x14ac:dyDescent="0.3">
      <c r="A197" s="120">
        <v>190</v>
      </c>
      <c r="B197" s="118" t="s">
        <v>307</v>
      </c>
      <c r="C197" s="103"/>
      <c r="D197" s="103">
        <f t="shared" si="4"/>
        <v>0</v>
      </c>
      <c r="E197" s="103">
        <f t="shared" si="5"/>
        <v>0</v>
      </c>
      <c r="F197" s="103"/>
      <c r="H197" s="134"/>
    </row>
    <row r="198" spans="1:8" x14ac:dyDescent="0.3">
      <c r="A198" s="125">
        <v>191</v>
      </c>
      <c r="B198" s="118" t="s">
        <v>308</v>
      </c>
      <c r="C198" s="103">
        <v>500000</v>
      </c>
      <c r="D198" s="103">
        <f t="shared" si="4"/>
        <v>121219.24318242383</v>
      </c>
      <c r="E198" s="103">
        <f t="shared" si="5"/>
        <v>121000</v>
      </c>
      <c r="F198" s="103">
        <v>5800000</v>
      </c>
      <c r="H198" s="134"/>
    </row>
    <row r="199" spans="1:8" x14ac:dyDescent="0.3">
      <c r="A199" s="124">
        <v>192</v>
      </c>
      <c r="B199" s="118" t="s">
        <v>309</v>
      </c>
      <c r="C199" s="103">
        <v>640000</v>
      </c>
      <c r="D199" s="103">
        <f t="shared" si="4"/>
        <v>155160.63127350251</v>
      </c>
      <c r="E199" s="103">
        <f t="shared" si="5"/>
        <v>155000</v>
      </c>
      <c r="F199" s="103">
        <v>5000000</v>
      </c>
      <c r="H199" s="134"/>
    </row>
    <row r="200" spans="1:8" s="128" customFormat="1" x14ac:dyDescent="0.3">
      <c r="A200" s="127">
        <v>193</v>
      </c>
      <c r="B200" s="118" t="s">
        <v>310</v>
      </c>
      <c r="C200" s="103"/>
      <c r="D200" s="103">
        <f t="shared" si="4"/>
        <v>0</v>
      </c>
      <c r="E200" s="103">
        <f t="shared" si="5"/>
        <v>0</v>
      </c>
      <c r="F200" s="135"/>
      <c r="H200" s="136"/>
    </row>
    <row r="201" spans="1:8" x14ac:dyDescent="0.3">
      <c r="A201" s="120">
        <v>194</v>
      </c>
      <c r="B201" s="118" t="s">
        <v>311</v>
      </c>
      <c r="C201" s="103">
        <v>365000</v>
      </c>
      <c r="D201" s="103">
        <f t="shared" ref="D201:D264" si="6">+C201*$J$4</f>
        <v>88490.0475231694</v>
      </c>
      <c r="E201" s="103">
        <f t="shared" ref="E201:E264" si="7">MROUND(D201,500)</f>
        <v>88500</v>
      </c>
      <c r="F201" s="103">
        <v>1800000</v>
      </c>
      <c r="H201" s="134"/>
    </row>
    <row r="202" spans="1:8" x14ac:dyDescent="0.3">
      <c r="A202" s="120">
        <v>195</v>
      </c>
      <c r="B202" s="118" t="s">
        <v>312</v>
      </c>
      <c r="C202" s="103"/>
      <c r="D202" s="103">
        <f t="shared" si="6"/>
        <v>0</v>
      </c>
      <c r="E202" s="103">
        <f t="shared" si="7"/>
        <v>0</v>
      </c>
      <c r="F202" s="103"/>
      <c r="H202" s="134"/>
    </row>
    <row r="203" spans="1:8" x14ac:dyDescent="0.3">
      <c r="A203" s="120">
        <v>196</v>
      </c>
      <c r="B203" s="118" t="s">
        <v>313</v>
      </c>
      <c r="C203" s="103">
        <v>1020000</v>
      </c>
      <c r="D203" s="103">
        <f t="shared" si="6"/>
        <v>247287.25609214461</v>
      </c>
      <c r="E203" s="103">
        <f t="shared" si="7"/>
        <v>247500</v>
      </c>
      <c r="F203" s="103">
        <v>10000000</v>
      </c>
      <c r="H203" s="134"/>
    </row>
    <row r="204" spans="1:8" x14ac:dyDescent="0.3">
      <c r="A204" s="120">
        <v>197</v>
      </c>
      <c r="B204" s="118" t="s">
        <v>314</v>
      </c>
      <c r="C204" s="103">
        <v>220000</v>
      </c>
      <c r="D204" s="103">
        <f t="shared" si="6"/>
        <v>53336.467000266486</v>
      </c>
      <c r="E204" s="103">
        <f t="shared" si="7"/>
        <v>53500</v>
      </c>
      <c r="F204" s="103">
        <v>1000000</v>
      </c>
      <c r="H204" s="134"/>
    </row>
    <row r="205" spans="1:8" x14ac:dyDescent="0.3">
      <c r="A205" s="120">
        <v>198</v>
      </c>
      <c r="B205" s="118" t="s">
        <v>315</v>
      </c>
      <c r="C205" s="103">
        <v>1300000</v>
      </c>
      <c r="D205" s="103">
        <f t="shared" si="6"/>
        <v>315170.03227430198</v>
      </c>
      <c r="E205" s="103">
        <f t="shared" si="7"/>
        <v>315000</v>
      </c>
      <c r="F205" s="103">
        <v>9000000</v>
      </c>
      <c r="H205" s="134"/>
    </row>
    <row r="206" spans="1:8" x14ac:dyDescent="0.3">
      <c r="A206" s="120">
        <v>199</v>
      </c>
      <c r="B206" s="118" t="s">
        <v>316</v>
      </c>
      <c r="C206" s="103">
        <v>510000</v>
      </c>
      <c r="D206" s="103">
        <f t="shared" si="6"/>
        <v>123643.62804607231</v>
      </c>
      <c r="E206" s="103">
        <f t="shared" si="7"/>
        <v>123500</v>
      </c>
      <c r="F206" s="103">
        <v>2200000</v>
      </c>
      <c r="H206" s="134"/>
    </row>
    <row r="207" spans="1:8" x14ac:dyDescent="0.3">
      <c r="A207" s="120">
        <v>200</v>
      </c>
      <c r="B207" s="118" t="s">
        <v>317</v>
      </c>
      <c r="C207" s="103">
        <v>360000</v>
      </c>
      <c r="D207" s="103">
        <f t="shared" si="6"/>
        <v>87277.855091345162</v>
      </c>
      <c r="E207" s="103">
        <f t="shared" si="7"/>
        <v>87500</v>
      </c>
      <c r="F207" s="103">
        <v>2800000</v>
      </c>
      <c r="H207" s="134"/>
    </row>
    <row r="208" spans="1:8" x14ac:dyDescent="0.3">
      <c r="A208" s="120">
        <v>201</v>
      </c>
      <c r="B208" s="118" t="s">
        <v>318</v>
      </c>
      <c r="C208" s="103"/>
      <c r="D208" s="103">
        <f t="shared" si="6"/>
        <v>0</v>
      </c>
      <c r="E208" s="103">
        <f t="shared" si="7"/>
        <v>0</v>
      </c>
      <c r="F208" s="103"/>
      <c r="H208" s="134"/>
    </row>
    <row r="209" spans="1:8" x14ac:dyDescent="0.3">
      <c r="A209" s="123">
        <v>202</v>
      </c>
      <c r="B209" s="118" t="s">
        <v>319</v>
      </c>
      <c r="C209" s="103"/>
      <c r="D209" s="103">
        <f t="shared" si="6"/>
        <v>0</v>
      </c>
      <c r="E209" s="103">
        <f t="shared" si="7"/>
        <v>0</v>
      </c>
      <c r="F209" s="103"/>
      <c r="H209" s="134"/>
    </row>
    <row r="210" spans="1:8" x14ac:dyDescent="0.3">
      <c r="A210" s="123">
        <v>203</v>
      </c>
      <c r="B210" s="118" t="s">
        <v>320</v>
      </c>
      <c r="C210" s="103"/>
      <c r="D210" s="103">
        <f t="shared" si="6"/>
        <v>0</v>
      </c>
      <c r="E210" s="103">
        <f t="shared" si="7"/>
        <v>0</v>
      </c>
      <c r="F210" s="103"/>
      <c r="H210" s="134"/>
    </row>
    <row r="211" spans="1:8" x14ac:dyDescent="0.3">
      <c r="A211" s="123">
        <v>204</v>
      </c>
      <c r="B211" s="118" t="s">
        <v>321</v>
      </c>
      <c r="C211" s="103"/>
      <c r="D211" s="103">
        <f t="shared" si="6"/>
        <v>0</v>
      </c>
      <c r="E211" s="103">
        <f t="shared" si="7"/>
        <v>0</v>
      </c>
      <c r="F211" s="103"/>
      <c r="H211" s="134"/>
    </row>
    <row r="212" spans="1:8" x14ac:dyDescent="0.3">
      <c r="A212" s="120">
        <v>205</v>
      </c>
      <c r="B212" s="118" t="s">
        <v>322</v>
      </c>
      <c r="C212" s="103"/>
      <c r="D212" s="103">
        <f t="shared" si="6"/>
        <v>0</v>
      </c>
      <c r="E212" s="103">
        <f t="shared" si="7"/>
        <v>0</v>
      </c>
      <c r="F212" s="103"/>
      <c r="H212" s="134"/>
    </row>
    <row r="213" spans="1:8" x14ac:dyDescent="0.3">
      <c r="A213" s="120">
        <v>206</v>
      </c>
      <c r="B213" s="118" t="s">
        <v>323</v>
      </c>
      <c r="C213" s="103">
        <v>0</v>
      </c>
      <c r="D213" s="103">
        <f t="shared" si="6"/>
        <v>0</v>
      </c>
      <c r="E213" s="103">
        <f t="shared" si="7"/>
        <v>0</v>
      </c>
      <c r="F213" s="103"/>
      <c r="H213" s="134"/>
    </row>
    <row r="214" spans="1:8" x14ac:dyDescent="0.3">
      <c r="A214" s="123">
        <v>207</v>
      </c>
      <c r="B214" s="118" t="s">
        <v>324</v>
      </c>
      <c r="C214" s="103">
        <v>155000</v>
      </c>
      <c r="D214" s="103">
        <f t="shared" si="6"/>
        <v>37577.96538655139</v>
      </c>
      <c r="E214" s="103">
        <f t="shared" si="7"/>
        <v>37500</v>
      </c>
      <c r="F214" s="103">
        <v>0</v>
      </c>
      <c r="H214" s="134"/>
    </row>
    <row r="215" spans="1:8" x14ac:dyDescent="0.3">
      <c r="A215" s="123">
        <v>208</v>
      </c>
      <c r="B215" s="118" t="s">
        <v>325</v>
      </c>
      <c r="C215" s="103">
        <v>370000</v>
      </c>
      <c r="D215" s="103">
        <f t="shared" si="6"/>
        <v>89702.239954993638</v>
      </c>
      <c r="E215" s="103">
        <f t="shared" si="7"/>
        <v>89500</v>
      </c>
      <c r="F215" s="103">
        <v>2400000</v>
      </c>
      <c r="H215" s="134"/>
    </row>
    <row r="216" spans="1:8" x14ac:dyDescent="0.3">
      <c r="A216" s="123">
        <v>209</v>
      </c>
      <c r="B216" s="118" t="s">
        <v>326</v>
      </c>
      <c r="C216" s="103"/>
      <c r="D216" s="103">
        <f t="shared" si="6"/>
        <v>0</v>
      </c>
      <c r="E216" s="103">
        <f t="shared" si="7"/>
        <v>0</v>
      </c>
      <c r="F216" s="103"/>
      <c r="H216" s="134"/>
    </row>
    <row r="217" spans="1:8" x14ac:dyDescent="0.3">
      <c r="A217" s="123">
        <v>210</v>
      </c>
      <c r="B217" s="118" t="s">
        <v>327</v>
      </c>
      <c r="C217" s="103"/>
      <c r="D217" s="103">
        <f t="shared" si="6"/>
        <v>0</v>
      </c>
      <c r="E217" s="103">
        <f t="shared" si="7"/>
        <v>0</v>
      </c>
      <c r="F217" s="103"/>
      <c r="H217" s="134"/>
    </row>
    <row r="218" spans="1:8" x14ac:dyDescent="0.3">
      <c r="A218" s="123">
        <v>211</v>
      </c>
      <c r="B218" s="118" t="s">
        <v>328</v>
      </c>
      <c r="C218" s="103">
        <v>0</v>
      </c>
      <c r="D218" s="103">
        <f t="shared" si="6"/>
        <v>0</v>
      </c>
      <c r="E218" s="103">
        <f t="shared" si="7"/>
        <v>0</v>
      </c>
      <c r="F218" s="103"/>
      <c r="H218" s="134"/>
    </row>
    <row r="219" spans="1:8" x14ac:dyDescent="0.3">
      <c r="A219" s="123">
        <v>212</v>
      </c>
      <c r="B219" s="118" t="s">
        <v>402</v>
      </c>
      <c r="C219" s="103">
        <v>0</v>
      </c>
      <c r="D219" s="103">
        <f t="shared" si="6"/>
        <v>0</v>
      </c>
      <c r="E219" s="103">
        <f t="shared" si="7"/>
        <v>0</v>
      </c>
      <c r="F219" s="103"/>
      <c r="H219" s="134"/>
    </row>
    <row r="220" spans="1:8" x14ac:dyDescent="0.3">
      <c r="A220" s="123">
        <v>213</v>
      </c>
      <c r="B220" s="118" t="s">
        <v>330</v>
      </c>
      <c r="C220" s="103">
        <v>400000</v>
      </c>
      <c r="D220" s="103">
        <f t="shared" si="6"/>
        <v>96975.394545939067</v>
      </c>
      <c r="E220" s="103">
        <f t="shared" si="7"/>
        <v>97000</v>
      </c>
      <c r="F220" s="103">
        <v>0</v>
      </c>
      <c r="H220" s="134"/>
    </row>
    <row r="221" spans="1:8" x14ac:dyDescent="0.3">
      <c r="A221" s="123">
        <v>214</v>
      </c>
      <c r="B221" s="118" t="s">
        <v>331</v>
      </c>
      <c r="C221" s="103"/>
      <c r="D221" s="103">
        <f t="shared" si="6"/>
        <v>0</v>
      </c>
      <c r="E221" s="103">
        <f t="shared" si="7"/>
        <v>0</v>
      </c>
      <c r="F221" s="103"/>
      <c r="H221" s="134"/>
    </row>
    <row r="222" spans="1:8" x14ac:dyDescent="0.3">
      <c r="A222" s="123">
        <v>215</v>
      </c>
      <c r="B222" s="118" t="s">
        <v>332</v>
      </c>
      <c r="C222" s="103"/>
      <c r="D222" s="103">
        <f t="shared" si="6"/>
        <v>0</v>
      </c>
      <c r="E222" s="103">
        <f t="shared" si="7"/>
        <v>0</v>
      </c>
      <c r="F222" s="103"/>
      <c r="H222" s="134"/>
    </row>
    <row r="223" spans="1:8" x14ac:dyDescent="0.3">
      <c r="A223" s="123">
        <v>216</v>
      </c>
      <c r="B223" s="118" t="s">
        <v>333</v>
      </c>
      <c r="C223" s="103"/>
      <c r="D223" s="103">
        <f t="shared" si="6"/>
        <v>0</v>
      </c>
      <c r="E223" s="103">
        <f t="shared" si="7"/>
        <v>0</v>
      </c>
      <c r="F223" s="103"/>
      <c r="H223" s="134"/>
    </row>
    <row r="224" spans="1:8" x14ac:dyDescent="0.3">
      <c r="A224" s="123">
        <v>217</v>
      </c>
      <c r="B224" s="118" t="s">
        <v>334</v>
      </c>
      <c r="C224" s="103"/>
      <c r="D224" s="103">
        <f t="shared" si="6"/>
        <v>0</v>
      </c>
      <c r="E224" s="103">
        <f t="shared" si="7"/>
        <v>0</v>
      </c>
      <c r="F224" s="103"/>
      <c r="H224" s="134"/>
    </row>
    <row r="225" spans="1:8" x14ac:dyDescent="0.3">
      <c r="A225" s="123">
        <v>218</v>
      </c>
      <c r="B225" s="118" t="s">
        <v>335</v>
      </c>
      <c r="C225" s="103"/>
      <c r="D225" s="103">
        <f t="shared" si="6"/>
        <v>0</v>
      </c>
      <c r="E225" s="103">
        <f t="shared" si="7"/>
        <v>0</v>
      </c>
      <c r="F225" s="103"/>
      <c r="H225" s="134"/>
    </row>
    <row r="226" spans="1:8" x14ac:dyDescent="0.3">
      <c r="A226" s="123">
        <v>219</v>
      </c>
      <c r="B226" s="118" t="s">
        <v>336</v>
      </c>
      <c r="C226" s="103"/>
      <c r="D226" s="103">
        <f t="shared" si="6"/>
        <v>0</v>
      </c>
      <c r="E226" s="103">
        <f t="shared" si="7"/>
        <v>0</v>
      </c>
      <c r="F226" s="103"/>
      <c r="H226" s="134"/>
    </row>
    <row r="227" spans="1:8" x14ac:dyDescent="0.3">
      <c r="A227" s="123">
        <v>220</v>
      </c>
      <c r="B227" s="118" t="s">
        <v>337</v>
      </c>
      <c r="C227" s="103">
        <v>20000</v>
      </c>
      <c r="D227" s="103">
        <f t="shared" si="6"/>
        <v>4848.7697272969535</v>
      </c>
      <c r="E227" s="103">
        <f t="shared" si="7"/>
        <v>5000</v>
      </c>
      <c r="F227" s="103">
        <v>800000</v>
      </c>
      <c r="H227" s="134"/>
    </row>
    <row r="228" spans="1:8" x14ac:dyDescent="0.3">
      <c r="A228" s="123">
        <v>221</v>
      </c>
      <c r="B228" s="118" t="s">
        <v>338</v>
      </c>
      <c r="C228" s="103">
        <v>900000</v>
      </c>
      <c r="D228" s="103">
        <f t="shared" si="6"/>
        <v>218194.6377283629</v>
      </c>
      <c r="E228" s="103">
        <f t="shared" si="7"/>
        <v>218000</v>
      </c>
      <c r="F228" s="103">
        <v>0</v>
      </c>
      <c r="H228" s="134"/>
    </row>
    <row r="229" spans="1:8" x14ac:dyDescent="0.3">
      <c r="A229" s="123">
        <v>222</v>
      </c>
      <c r="B229" s="118" t="s">
        <v>339</v>
      </c>
      <c r="C229" s="103"/>
      <c r="D229" s="103">
        <f t="shared" si="6"/>
        <v>0</v>
      </c>
      <c r="E229" s="103">
        <f t="shared" si="7"/>
        <v>0</v>
      </c>
      <c r="F229" s="103"/>
      <c r="H229" s="134"/>
    </row>
    <row r="230" spans="1:8" x14ac:dyDescent="0.3">
      <c r="A230" s="123">
        <v>223</v>
      </c>
      <c r="B230" s="118" t="s">
        <v>340</v>
      </c>
      <c r="C230" s="103"/>
      <c r="D230" s="103">
        <f t="shared" si="6"/>
        <v>0</v>
      </c>
      <c r="E230" s="103">
        <f t="shared" si="7"/>
        <v>0</v>
      </c>
      <c r="F230" s="103"/>
      <c r="H230" s="134"/>
    </row>
    <row r="231" spans="1:8" x14ac:dyDescent="0.3">
      <c r="A231" s="130">
        <v>224</v>
      </c>
      <c r="B231" s="118" t="s">
        <v>341</v>
      </c>
      <c r="C231" s="103"/>
      <c r="D231" s="103">
        <f t="shared" si="6"/>
        <v>0</v>
      </c>
      <c r="E231" s="103">
        <f t="shared" si="7"/>
        <v>0</v>
      </c>
      <c r="F231" s="103"/>
      <c r="H231" s="134"/>
    </row>
    <row r="232" spans="1:8" x14ac:dyDescent="0.3">
      <c r="A232" s="120">
        <v>225</v>
      </c>
      <c r="B232" s="118" t="s">
        <v>342</v>
      </c>
      <c r="C232" s="103"/>
      <c r="D232" s="103">
        <f t="shared" si="6"/>
        <v>0</v>
      </c>
      <c r="E232" s="103">
        <f t="shared" si="7"/>
        <v>0</v>
      </c>
      <c r="F232" s="103"/>
      <c r="H232" s="134"/>
    </row>
    <row r="233" spans="1:8" x14ac:dyDescent="0.3">
      <c r="A233" s="120">
        <v>226</v>
      </c>
      <c r="B233" s="118" t="s">
        <v>343</v>
      </c>
      <c r="C233" s="103"/>
      <c r="D233" s="103">
        <f t="shared" si="6"/>
        <v>0</v>
      </c>
      <c r="E233" s="103">
        <f t="shared" si="7"/>
        <v>0</v>
      </c>
      <c r="F233" s="103"/>
      <c r="H233" s="134"/>
    </row>
    <row r="234" spans="1:8" x14ac:dyDescent="0.3">
      <c r="A234" s="120">
        <v>227</v>
      </c>
      <c r="B234" s="118" t="s">
        <v>344</v>
      </c>
      <c r="C234" s="103">
        <v>50000</v>
      </c>
      <c r="D234" s="103">
        <f t="shared" si="6"/>
        <v>12121.924318242383</v>
      </c>
      <c r="E234" s="103">
        <f t="shared" si="7"/>
        <v>12000</v>
      </c>
      <c r="F234" s="103">
        <v>10000000</v>
      </c>
      <c r="H234" s="134"/>
    </row>
    <row r="235" spans="1:8" x14ac:dyDescent="0.3">
      <c r="A235" s="120">
        <v>228</v>
      </c>
      <c r="B235" s="118" t="s">
        <v>345</v>
      </c>
      <c r="C235" s="103"/>
      <c r="D235" s="103">
        <f t="shared" si="6"/>
        <v>0</v>
      </c>
      <c r="E235" s="103">
        <f t="shared" si="7"/>
        <v>0</v>
      </c>
      <c r="F235" s="103"/>
      <c r="H235" s="134"/>
    </row>
    <row r="236" spans="1:8" x14ac:dyDescent="0.3">
      <c r="A236" s="120">
        <v>229</v>
      </c>
      <c r="B236" s="118" t="s">
        <v>346</v>
      </c>
      <c r="C236" s="103"/>
      <c r="D236" s="103">
        <f t="shared" si="6"/>
        <v>0</v>
      </c>
      <c r="E236" s="103">
        <f t="shared" si="7"/>
        <v>0</v>
      </c>
      <c r="F236" s="103"/>
      <c r="H236" s="134"/>
    </row>
    <row r="237" spans="1:8" x14ac:dyDescent="0.3">
      <c r="A237" s="120">
        <v>230</v>
      </c>
      <c r="B237" s="118" t="s">
        <v>347</v>
      </c>
      <c r="C237" s="103"/>
      <c r="D237" s="103">
        <f t="shared" si="6"/>
        <v>0</v>
      </c>
      <c r="E237" s="103">
        <f t="shared" si="7"/>
        <v>0</v>
      </c>
      <c r="F237" s="103"/>
      <c r="H237" s="134"/>
    </row>
    <row r="238" spans="1:8" x14ac:dyDescent="0.3">
      <c r="A238" s="120">
        <v>231</v>
      </c>
      <c r="B238" s="118" t="s">
        <v>348</v>
      </c>
      <c r="C238" s="103"/>
      <c r="D238" s="103">
        <f t="shared" si="6"/>
        <v>0</v>
      </c>
      <c r="E238" s="103">
        <f t="shared" si="7"/>
        <v>0</v>
      </c>
      <c r="F238" s="103"/>
      <c r="H238" s="134"/>
    </row>
    <row r="239" spans="1:8" x14ac:dyDescent="0.3">
      <c r="A239" s="120">
        <v>232</v>
      </c>
      <c r="B239" s="118" t="s">
        <v>349</v>
      </c>
      <c r="C239" s="103"/>
      <c r="D239" s="103">
        <f t="shared" si="6"/>
        <v>0</v>
      </c>
      <c r="E239" s="103">
        <f t="shared" si="7"/>
        <v>0</v>
      </c>
      <c r="F239" s="103"/>
      <c r="H239" s="134"/>
    </row>
    <row r="240" spans="1:8" x14ac:dyDescent="0.3">
      <c r="A240" s="120">
        <v>233</v>
      </c>
      <c r="B240" s="118" t="s">
        <v>350</v>
      </c>
      <c r="C240" s="103"/>
      <c r="D240" s="103">
        <f t="shared" si="6"/>
        <v>0</v>
      </c>
      <c r="E240" s="103">
        <f t="shared" si="7"/>
        <v>0</v>
      </c>
      <c r="F240" s="103"/>
      <c r="H240" s="134"/>
    </row>
    <row r="241" spans="1:8" x14ac:dyDescent="0.3">
      <c r="A241" s="120">
        <v>234</v>
      </c>
      <c r="B241" s="118" t="s">
        <v>351</v>
      </c>
      <c r="C241" s="103"/>
      <c r="D241" s="103">
        <f t="shared" si="6"/>
        <v>0</v>
      </c>
      <c r="E241" s="103">
        <f t="shared" si="7"/>
        <v>0</v>
      </c>
      <c r="F241" s="103">
        <v>0</v>
      </c>
      <c r="H241" s="134"/>
    </row>
    <row r="242" spans="1:8" x14ac:dyDescent="0.3">
      <c r="A242" s="120">
        <v>235</v>
      </c>
      <c r="B242" s="118" t="s">
        <v>352</v>
      </c>
      <c r="C242" s="103">
        <v>310000</v>
      </c>
      <c r="D242" s="103">
        <f t="shared" si="6"/>
        <v>75155.93077310278</v>
      </c>
      <c r="E242" s="103">
        <f t="shared" si="7"/>
        <v>75000</v>
      </c>
      <c r="F242" s="103">
        <v>1400000</v>
      </c>
      <c r="H242" s="134"/>
    </row>
    <row r="243" spans="1:8" x14ac:dyDescent="0.3">
      <c r="A243" s="120">
        <v>236</v>
      </c>
      <c r="B243" s="118" t="s">
        <v>353</v>
      </c>
      <c r="C243" s="103">
        <v>5000</v>
      </c>
      <c r="D243" s="103">
        <f t="shared" si="6"/>
        <v>1212.1924318242384</v>
      </c>
      <c r="E243" s="103">
        <f t="shared" si="7"/>
        <v>1000</v>
      </c>
      <c r="F243" s="103">
        <v>450000</v>
      </c>
      <c r="H243" s="134"/>
    </row>
    <row r="244" spans="1:8" x14ac:dyDescent="0.3">
      <c r="A244" s="120">
        <v>237</v>
      </c>
      <c r="B244" s="118" t="s">
        <v>354</v>
      </c>
      <c r="C244" s="103">
        <v>80000</v>
      </c>
      <c r="D244" s="103">
        <f t="shared" si="6"/>
        <v>19395.078909187814</v>
      </c>
      <c r="E244" s="103">
        <f t="shared" si="7"/>
        <v>19500</v>
      </c>
      <c r="F244" s="103">
        <v>800000</v>
      </c>
      <c r="H244" s="134"/>
    </row>
    <row r="245" spans="1:8" x14ac:dyDescent="0.3">
      <c r="A245" s="120">
        <v>238</v>
      </c>
      <c r="B245" s="118" t="s">
        <v>355</v>
      </c>
      <c r="C245" s="103"/>
      <c r="D245" s="103">
        <f t="shared" si="6"/>
        <v>0</v>
      </c>
      <c r="E245" s="103">
        <f t="shared" si="7"/>
        <v>0</v>
      </c>
      <c r="F245" s="103">
        <v>2000000</v>
      </c>
      <c r="H245" s="134"/>
    </row>
    <row r="246" spans="1:8" x14ac:dyDescent="0.3">
      <c r="A246" s="120">
        <v>239</v>
      </c>
      <c r="B246" s="118" t="s">
        <v>356</v>
      </c>
      <c r="C246" s="103"/>
      <c r="D246" s="103">
        <f t="shared" si="6"/>
        <v>0</v>
      </c>
      <c r="E246" s="103">
        <f t="shared" si="7"/>
        <v>0</v>
      </c>
      <c r="F246" s="103"/>
      <c r="H246" s="134"/>
    </row>
    <row r="247" spans="1:8" x14ac:dyDescent="0.3">
      <c r="A247" s="120">
        <v>240</v>
      </c>
      <c r="B247" s="118" t="s">
        <v>357</v>
      </c>
      <c r="C247" s="103"/>
      <c r="D247" s="103">
        <f t="shared" si="6"/>
        <v>0</v>
      </c>
      <c r="E247" s="103">
        <f t="shared" si="7"/>
        <v>0</v>
      </c>
      <c r="F247" s="103"/>
      <c r="H247" s="134"/>
    </row>
    <row r="248" spans="1:8" x14ac:dyDescent="0.3">
      <c r="A248" s="120">
        <v>241</v>
      </c>
      <c r="B248" s="118" t="s">
        <v>358</v>
      </c>
      <c r="C248" s="103">
        <v>990000</v>
      </c>
      <c r="D248" s="103">
        <f t="shared" si="6"/>
        <v>240014.10150119918</v>
      </c>
      <c r="E248" s="103">
        <f t="shared" si="7"/>
        <v>240000</v>
      </c>
      <c r="F248" s="103">
        <v>7200000</v>
      </c>
      <c r="H248" s="134"/>
    </row>
    <row r="249" spans="1:8" x14ac:dyDescent="0.3">
      <c r="A249" s="120">
        <v>242</v>
      </c>
      <c r="B249" s="118" t="s">
        <v>359</v>
      </c>
      <c r="C249" s="103"/>
      <c r="D249" s="103">
        <f t="shared" si="6"/>
        <v>0</v>
      </c>
      <c r="E249" s="103">
        <f t="shared" si="7"/>
        <v>0</v>
      </c>
      <c r="F249" s="103"/>
      <c r="H249" s="134"/>
    </row>
    <row r="250" spans="1:8" x14ac:dyDescent="0.3">
      <c r="A250" s="120">
        <v>243</v>
      </c>
      <c r="B250" s="118" t="s">
        <v>360</v>
      </c>
      <c r="C250" s="103"/>
      <c r="D250" s="103">
        <f t="shared" si="6"/>
        <v>0</v>
      </c>
      <c r="E250" s="103">
        <f t="shared" si="7"/>
        <v>0</v>
      </c>
      <c r="F250" s="103"/>
      <c r="H250" s="134"/>
    </row>
    <row r="251" spans="1:8" x14ac:dyDescent="0.3">
      <c r="A251" s="120">
        <v>244</v>
      </c>
      <c r="B251" s="118" t="s">
        <v>361</v>
      </c>
      <c r="C251" s="103"/>
      <c r="D251" s="103">
        <f t="shared" si="6"/>
        <v>0</v>
      </c>
      <c r="E251" s="103">
        <f t="shared" si="7"/>
        <v>0</v>
      </c>
      <c r="F251" s="103"/>
      <c r="H251" s="134"/>
    </row>
    <row r="252" spans="1:8" x14ac:dyDescent="0.3">
      <c r="A252" s="120">
        <v>245</v>
      </c>
      <c r="B252" s="118" t="s">
        <v>362</v>
      </c>
      <c r="C252" s="103"/>
      <c r="D252" s="103">
        <f t="shared" si="6"/>
        <v>0</v>
      </c>
      <c r="E252" s="103">
        <f t="shared" si="7"/>
        <v>0</v>
      </c>
      <c r="F252" s="103"/>
      <c r="H252" s="134"/>
    </row>
    <row r="253" spans="1:8" x14ac:dyDescent="0.3">
      <c r="A253" s="120">
        <v>246</v>
      </c>
      <c r="B253" s="118" t="s">
        <v>363</v>
      </c>
      <c r="C253" s="103"/>
      <c r="D253" s="103">
        <f t="shared" si="6"/>
        <v>0</v>
      </c>
      <c r="E253" s="103">
        <f t="shared" si="7"/>
        <v>0</v>
      </c>
      <c r="F253" s="103"/>
      <c r="H253" s="134"/>
    </row>
    <row r="254" spans="1:8" x14ac:dyDescent="0.3">
      <c r="A254" s="120">
        <v>247</v>
      </c>
      <c r="B254" s="118" t="s">
        <v>364</v>
      </c>
      <c r="C254" s="103">
        <v>400000</v>
      </c>
      <c r="D254" s="103">
        <f t="shared" si="6"/>
        <v>96975.394545939067</v>
      </c>
      <c r="E254" s="103">
        <f t="shared" si="7"/>
        <v>97000</v>
      </c>
      <c r="F254" s="103">
        <v>0</v>
      </c>
      <c r="H254" s="134"/>
    </row>
    <row r="255" spans="1:8" x14ac:dyDescent="0.3">
      <c r="A255" s="120">
        <v>248</v>
      </c>
      <c r="B255" s="118" t="s">
        <v>365</v>
      </c>
      <c r="C255" s="103"/>
      <c r="D255" s="103">
        <f t="shared" si="6"/>
        <v>0</v>
      </c>
      <c r="E255" s="103">
        <f t="shared" si="7"/>
        <v>0</v>
      </c>
      <c r="F255" s="103"/>
      <c r="H255" s="134"/>
    </row>
    <row r="256" spans="1:8" x14ac:dyDescent="0.3">
      <c r="A256" s="120">
        <v>249</v>
      </c>
      <c r="B256" s="118" t="s">
        <v>366</v>
      </c>
      <c r="C256" s="103"/>
      <c r="D256" s="103">
        <f t="shared" si="6"/>
        <v>0</v>
      </c>
      <c r="E256" s="103">
        <f t="shared" si="7"/>
        <v>0</v>
      </c>
      <c r="F256" s="103"/>
      <c r="H256" s="134"/>
    </row>
    <row r="257" spans="1:8" x14ac:dyDescent="0.3">
      <c r="A257" s="120">
        <v>250</v>
      </c>
      <c r="B257" s="118" t="s">
        <v>367</v>
      </c>
      <c r="C257" s="103"/>
      <c r="D257" s="103">
        <f t="shared" si="6"/>
        <v>0</v>
      </c>
      <c r="E257" s="103">
        <f t="shared" si="7"/>
        <v>0</v>
      </c>
      <c r="F257" s="103"/>
      <c r="H257" s="134"/>
    </row>
    <row r="258" spans="1:8" x14ac:dyDescent="0.3">
      <c r="A258" s="120">
        <v>251</v>
      </c>
      <c r="B258" s="118" t="s">
        <v>368</v>
      </c>
      <c r="C258" s="103"/>
      <c r="D258" s="103">
        <f t="shared" si="6"/>
        <v>0</v>
      </c>
      <c r="E258" s="103">
        <f t="shared" si="7"/>
        <v>0</v>
      </c>
      <c r="F258" s="103"/>
      <c r="H258" s="134"/>
    </row>
    <row r="259" spans="1:8" x14ac:dyDescent="0.3">
      <c r="A259" s="120">
        <v>252</v>
      </c>
      <c r="B259" s="118" t="s">
        <v>369</v>
      </c>
      <c r="C259" s="103"/>
      <c r="D259" s="103">
        <f t="shared" si="6"/>
        <v>0</v>
      </c>
      <c r="E259" s="103">
        <f t="shared" si="7"/>
        <v>0</v>
      </c>
      <c r="F259" s="103"/>
      <c r="H259" s="134"/>
    </row>
    <row r="260" spans="1:8" x14ac:dyDescent="0.3">
      <c r="A260" s="120">
        <v>253</v>
      </c>
      <c r="B260" s="118" t="s">
        <v>370</v>
      </c>
      <c r="C260" s="103">
        <v>1200000</v>
      </c>
      <c r="D260" s="103">
        <f t="shared" si="6"/>
        <v>290926.18363781722</v>
      </c>
      <c r="E260" s="103">
        <f t="shared" si="7"/>
        <v>291000</v>
      </c>
      <c r="F260" s="103">
        <v>3000000</v>
      </c>
      <c r="H260" s="134"/>
    </row>
    <row r="261" spans="1:8" x14ac:dyDescent="0.3">
      <c r="A261" s="120">
        <v>254</v>
      </c>
      <c r="B261" s="118" t="s">
        <v>371</v>
      </c>
      <c r="C261" s="103"/>
      <c r="D261" s="103">
        <f t="shared" si="6"/>
        <v>0</v>
      </c>
      <c r="E261" s="103">
        <f t="shared" si="7"/>
        <v>0</v>
      </c>
      <c r="F261" s="103"/>
      <c r="H261" s="134"/>
    </row>
    <row r="262" spans="1:8" x14ac:dyDescent="0.3">
      <c r="A262" s="120">
        <v>255</v>
      </c>
      <c r="B262" s="118" t="s">
        <v>372</v>
      </c>
      <c r="C262" s="103"/>
      <c r="D262" s="103">
        <f t="shared" si="6"/>
        <v>0</v>
      </c>
      <c r="E262" s="103">
        <f t="shared" si="7"/>
        <v>0</v>
      </c>
      <c r="F262" s="103"/>
      <c r="H262" s="134"/>
    </row>
    <row r="263" spans="1:8" x14ac:dyDescent="0.3">
      <c r="A263" s="123">
        <v>256</v>
      </c>
      <c r="B263" s="118" t="s">
        <v>373</v>
      </c>
      <c r="C263" s="103">
        <v>245000</v>
      </c>
      <c r="D263" s="103">
        <f t="shared" si="6"/>
        <v>59397.429159387677</v>
      </c>
      <c r="E263" s="103">
        <f t="shared" si="7"/>
        <v>59500</v>
      </c>
      <c r="F263" s="103">
        <v>2350000</v>
      </c>
      <c r="H263" s="134"/>
    </row>
    <row r="264" spans="1:8" x14ac:dyDescent="0.3">
      <c r="A264" s="120">
        <v>257</v>
      </c>
      <c r="B264" s="118" t="s">
        <v>374</v>
      </c>
      <c r="C264" s="103">
        <v>90000</v>
      </c>
      <c r="D264" s="103">
        <f t="shared" si="6"/>
        <v>21819.46377283629</v>
      </c>
      <c r="E264" s="103">
        <f t="shared" si="7"/>
        <v>22000</v>
      </c>
      <c r="F264" s="103"/>
      <c r="H264" s="134"/>
    </row>
    <row r="265" spans="1:8" x14ac:dyDescent="0.3">
      <c r="A265" s="120">
        <v>258</v>
      </c>
      <c r="B265" s="118" t="s">
        <v>375</v>
      </c>
      <c r="C265" s="103"/>
      <c r="D265" s="103">
        <f t="shared" ref="D265:D288" si="8">+C265*$J$4</f>
        <v>0</v>
      </c>
      <c r="E265" s="103">
        <f t="shared" ref="E265:E288" si="9">MROUND(D265,500)</f>
        <v>0</v>
      </c>
      <c r="F265" s="103"/>
      <c r="H265" s="134"/>
    </row>
    <row r="266" spans="1:8" x14ac:dyDescent="0.3">
      <c r="A266" s="120">
        <v>259</v>
      </c>
      <c r="B266" s="118" t="s">
        <v>376</v>
      </c>
      <c r="C266" s="103"/>
      <c r="D266" s="103">
        <f t="shared" si="8"/>
        <v>0</v>
      </c>
      <c r="E266" s="103">
        <f t="shared" si="9"/>
        <v>0</v>
      </c>
      <c r="F266" s="103"/>
      <c r="H266" s="134"/>
    </row>
    <row r="267" spans="1:8" x14ac:dyDescent="0.3">
      <c r="A267" s="121">
        <v>260</v>
      </c>
      <c r="B267" s="118" t="s">
        <v>377</v>
      </c>
      <c r="C267" s="103"/>
      <c r="D267" s="103">
        <f t="shared" si="8"/>
        <v>0</v>
      </c>
      <c r="E267" s="103">
        <f t="shared" si="9"/>
        <v>0</v>
      </c>
      <c r="F267" s="103"/>
      <c r="H267" s="134"/>
    </row>
    <row r="268" spans="1:8" x14ac:dyDescent="0.3">
      <c r="A268" s="120">
        <v>261</v>
      </c>
      <c r="B268" s="118" t="s">
        <v>378</v>
      </c>
      <c r="C268" s="103">
        <v>670000</v>
      </c>
      <c r="D268" s="103">
        <f t="shared" si="8"/>
        <v>162433.78586444794</v>
      </c>
      <c r="E268" s="103">
        <f t="shared" si="9"/>
        <v>162500</v>
      </c>
      <c r="F268" s="103">
        <v>0</v>
      </c>
      <c r="H268" s="134"/>
    </row>
    <row r="269" spans="1:8" x14ac:dyDescent="0.3">
      <c r="A269" s="120">
        <v>262</v>
      </c>
      <c r="B269" s="118" t="s">
        <v>379</v>
      </c>
      <c r="C269" s="103">
        <v>0</v>
      </c>
      <c r="D269" s="103">
        <f t="shared" si="8"/>
        <v>0</v>
      </c>
      <c r="E269" s="103">
        <f t="shared" si="9"/>
        <v>0</v>
      </c>
      <c r="F269" s="103"/>
      <c r="H269" s="134"/>
    </row>
    <row r="270" spans="1:8" x14ac:dyDescent="0.3">
      <c r="A270" s="120">
        <v>263</v>
      </c>
      <c r="B270" s="118" t="s">
        <v>380</v>
      </c>
      <c r="C270" s="103">
        <v>360000</v>
      </c>
      <c r="D270" s="103">
        <f t="shared" si="8"/>
        <v>87277.855091345162</v>
      </c>
      <c r="E270" s="103">
        <f t="shared" si="9"/>
        <v>87500</v>
      </c>
      <c r="F270" s="103">
        <v>3000000</v>
      </c>
      <c r="H270" s="134"/>
    </row>
    <row r="271" spans="1:8" x14ac:dyDescent="0.3">
      <c r="A271" s="120">
        <v>264</v>
      </c>
      <c r="B271" s="118" t="s">
        <v>381</v>
      </c>
      <c r="C271" s="103"/>
      <c r="D271" s="103">
        <f t="shared" si="8"/>
        <v>0</v>
      </c>
      <c r="E271" s="103">
        <f t="shared" si="9"/>
        <v>0</v>
      </c>
      <c r="F271" s="103"/>
      <c r="H271" s="134"/>
    </row>
    <row r="272" spans="1:8" x14ac:dyDescent="0.3">
      <c r="A272" s="120">
        <v>265</v>
      </c>
      <c r="B272" s="118" t="s">
        <v>382</v>
      </c>
      <c r="C272" s="103">
        <v>30000</v>
      </c>
      <c r="D272" s="103">
        <f t="shared" si="8"/>
        <v>7273.1545909454298</v>
      </c>
      <c r="E272" s="103">
        <f t="shared" si="9"/>
        <v>7500</v>
      </c>
      <c r="F272" s="103">
        <v>1100000</v>
      </c>
      <c r="H272" s="134"/>
    </row>
    <row r="273" spans="1:8" x14ac:dyDescent="0.3">
      <c r="A273" s="120">
        <v>266</v>
      </c>
      <c r="B273" s="118" t="s">
        <v>383</v>
      </c>
      <c r="C273" s="103"/>
      <c r="D273" s="103">
        <f t="shared" si="8"/>
        <v>0</v>
      </c>
      <c r="E273" s="103">
        <f t="shared" si="9"/>
        <v>0</v>
      </c>
      <c r="F273" s="103"/>
      <c r="H273" s="134"/>
    </row>
    <row r="274" spans="1:8" x14ac:dyDescent="0.3">
      <c r="A274" s="120">
        <v>267</v>
      </c>
      <c r="B274" s="118" t="s">
        <v>384</v>
      </c>
      <c r="C274" s="103"/>
      <c r="D274" s="103">
        <f t="shared" si="8"/>
        <v>0</v>
      </c>
      <c r="E274" s="103">
        <f t="shared" si="9"/>
        <v>0</v>
      </c>
      <c r="F274" s="103"/>
      <c r="H274" s="134"/>
    </row>
    <row r="275" spans="1:8" x14ac:dyDescent="0.3">
      <c r="A275" s="120">
        <v>268</v>
      </c>
      <c r="B275" s="118" t="s">
        <v>385</v>
      </c>
      <c r="C275" s="103">
        <v>470000</v>
      </c>
      <c r="D275" s="103">
        <f t="shared" si="8"/>
        <v>113946.0885914784</v>
      </c>
      <c r="E275" s="103">
        <f t="shared" si="9"/>
        <v>114000</v>
      </c>
      <c r="F275" s="103">
        <v>7500000</v>
      </c>
      <c r="H275" s="134"/>
    </row>
    <row r="276" spans="1:8" x14ac:dyDescent="0.3">
      <c r="A276" s="120">
        <v>269</v>
      </c>
      <c r="B276" s="118" t="s">
        <v>386</v>
      </c>
      <c r="C276" s="103"/>
      <c r="D276" s="103">
        <f t="shared" si="8"/>
        <v>0</v>
      </c>
      <c r="E276" s="103">
        <f t="shared" si="9"/>
        <v>0</v>
      </c>
      <c r="F276" s="103"/>
      <c r="H276" s="134"/>
    </row>
    <row r="277" spans="1:8" x14ac:dyDescent="0.3">
      <c r="A277" s="120">
        <v>270</v>
      </c>
      <c r="B277" s="118" t="s">
        <v>387</v>
      </c>
      <c r="C277" s="103"/>
      <c r="D277" s="103">
        <f t="shared" si="8"/>
        <v>0</v>
      </c>
      <c r="E277" s="103">
        <f t="shared" si="9"/>
        <v>0</v>
      </c>
      <c r="F277" s="103"/>
      <c r="H277" s="134"/>
    </row>
    <row r="278" spans="1:8" x14ac:dyDescent="0.3">
      <c r="A278" s="120">
        <v>271</v>
      </c>
      <c r="B278" s="118" t="s">
        <v>388</v>
      </c>
      <c r="C278" s="103">
        <v>240000</v>
      </c>
      <c r="D278" s="103">
        <f t="shared" si="8"/>
        <v>58185.236727563439</v>
      </c>
      <c r="E278" s="103">
        <f t="shared" si="9"/>
        <v>58000</v>
      </c>
      <c r="F278" s="103">
        <v>600000</v>
      </c>
      <c r="H278" s="134"/>
    </row>
    <row r="279" spans="1:8" x14ac:dyDescent="0.3">
      <c r="A279" s="120">
        <v>272</v>
      </c>
      <c r="B279" s="118" t="s">
        <v>389</v>
      </c>
      <c r="C279" s="103">
        <v>450000</v>
      </c>
      <c r="D279" s="103">
        <f t="shared" si="8"/>
        <v>109097.31886418145</v>
      </c>
      <c r="E279" s="103">
        <f t="shared" si="9"/>
        <v>109000</v>
      </c>
      <c r="F279" s="103"/>
      <c r="H279" s="134"/>
    </row>
    <row r="280" spans="1:8" x14ac:dyDescent="0.3">
      <c r="A280" s="120">
        <v>273</v>
      </c>
      <c r="B280" s="118" t="s">
        <v>390</v>
      </c>
      <c r="C280" s="103"/>
      <c r="D280" s="103">
        <f t="shared" si="8"/>
        <v>0</v>
      </c>
      <c r="E280" s="103">
        <f t="shared" si="9"/>
        <v>0</v>
      </c>
      <c r="F280" s="103"/>
      <c r="H280" s="134"/>
    </row>
    <row r="281" spans="1:8" x14ac:dyDescent="0.3">
      <c r="A281" s="120">
        <v>274</v>
      </c>
      <c r="B281" s="118" t="s">
        <v>391</v>
      </c>
      <c r="C281" s="103"/>
      <c r="D281" s="103">
        <f t="shared" si="8"/>
        <v>0</v>
      </c>
      <c r="E281" s="103">
        <f t="shared" si="9"/>
        <v>0</v>
      </c>
      <c r="F281" s="103"/>
      <c r="H281" s="134"/>
    </row>
    <row r="282" spans="1:8" x14ac:dyDescent="0.3">
      <c r="A282" s="120">
        <v>275</v>
      </c>
      <c r="B282" s="118" t="s">
        <v>392</v>
      </c>
      <c r="C282" s="103"/>
      <c r="D282" s="103">
        <f t="shared" si="8"/>
        <v>0</v>
      </c>
      <c r="E282" s="103">
        <f t="shared" si="9"/>
        <v>0</v>
      </c>
      <c r="F282" s="103"/>
      <c r="H282" s="134"/>
    </row>
    <row r="283" spans="1:8" x14ac:dyDescent="0.3">
      <c r="A283" s="120">
        <v>276</v>
      </c>
      <c r="B283" s="118" t="s">
        <v>393</v>
      </c>
      <c r="C283" s="103">
        <v>450000</v>
      </c>
      <c r="D283" s="103">
        <f t="shared" si="8"/>
        <v>109097.31886418145</v>
      </c>
      <c r="E283" s="103">
        <f t="shared" si="9"/>
        <v>109000</v>
      </c>
      <c r="F283" s="103"/>
      <c r="H283" s="134"/>
    </row>
    <row r="284" spans="1:8" x14ac:dyDescent="0.3">
      <c r="A284" s="120">
        <v>277</v>
      </c>
      <c r="B284" s="118" t="s">
        <v>394</v>
      </c>
      <c r="C284" s="103">
        <v>400000</v>
      </c>
      <c r="D284" s="103">
        <f t="shared" si="8"/>
        <v>96975.394545939067</v>
      </c>
      <c r="E284" s="103">
        <f t="shared" si="9"/>
        <v>97000</v>
      </c>
      <c r="F284" s="103">
        <v>0</v>
      </c>
      <c r="H284" s="134"/>
    </row>
    <row r="285" spans="1:8" x14ac:dyDescent="0.3">
      <c r="A285" s="120">
        <v>278</v>
      </c>
      <c r="B285" s="118" t="s">
        <v>395</v>
      </c>
      <c r="C285" s="103"/>
      <c r="D285" s="103">
        <f t="shared" si="8"/>
        <v>0</v>
      </c>
      <c r="E285" s="103">
        <f t="shared" si="9"/>
        <v>0</v>
      </c>
      <c r="F285" s="103"/>
      <c r="H285" s="134"/>
    </row>
    <row r="286" spans="1:8" x14ac:dyDescent="0.3">
      <c r="A286" s="120">
        <v>279</v>
      </c>
      <c r="B286" s="118" t="s">
        <v>396</v>
      </c>
      <c r="C286" s="103">
        <v>340000</v>
      </c>
      <c r="D286" s="103">
        <f t="shared" si="8"/>
        <v>82429.085364048209</v>
      </c>
      <c r="E286" s="103">
        <f t="shared" si="9"/>
        <v>82500</v>
      </c>
      <c r="F286" s="103">
        <v>6300000</v>
      </c>
      <c r="H286" s="134"/>
    </row>
    <row r="287" spans="1:8" x14ac:dyDescent="0.3">
      <c r="A287" s="120">
        <v>280</v>
      </c>
      <c r="B287" s="118" t="s">
        <v>397</v>
      </c>
      <c r="C287" s="103"/>
      <c r="D287" s="103">
        <f t="shared" si="8"/>
        <v>0</v>
      </c>
      <c r="E287" s="103">
        <f t="shared" si="9"/>
        <v>0</v>
      </c>
      <c r="F287" s="103"/>
      <c r="H287" s="134"/>
    </row>
    <row r="288" spans="1:8" x14ac:dyDescent="0.3">
      <c r="A288" s="120">
        <v>281</v>
      </c>
      <c r="B288" s="118" t="s">
        <v>398</v>
      </c>
      <c r="C288" s="103">
        <v>150000</v>
      </c>
      <c r="D288" s="103">
        <f t="shared" si="8"/>
        <v>36365.772954727152</v>
      </c>
      <c r="E288" s="103">
        <f t="shared" si="9"/>
        <v>36500</v>
      </c>
      <c r="F288" s="103">
        <v>3500000</v>
      </c>
      <c r="H288" s="134"/>
    </row>
    <row r="289" spans="1:8" x14ac:dyDescent="0.3">
      <c r="A289" s="120">
        <v>282</v>
      </c>
      <c r="B289" s="118" t="s">
        <v>413</v>
      </c>
      <c r="C289" s="103"/>
      <c r="D289" s="103">
        <f t="shared" ref="D289:D297" si="10">+C289*$J$4</f>
        <v>0</v>
      </c>
      <c r="E289" s="103">
        <f t="shared" ref="E289:E297" si="11">MROUND(D289,500)</f>
        <v>0</v>
      </c>
      <c r="F289" s="103"/>
      <c r="H289" s="134"/>
    </row>
    <row r="290" spans="1:8" x14ac:dyDescent="0.3">
      <c r="A290" s="120">
        <v>283</v>
      </c>
      <c r="B290" s="148" t="s">
        <v>414</v>
      </c>
      <c r="C290" s="103"/>
      <c r="D290" s="103">
        <f t="shared" si="10"/>
        <v>0</v>
      </c>
      <c r="E290" s="103">
        <f t="shared" si="11"/>
        <v>0</v>
      </c>
      <c r="F290" s="103"/>
      <c r="H290" s="134"/>
    </row>
    <row r="291" spans="1:8" x14ac:dyDescent="0.3">
      <c r="A291" s="120">
        <v>284</v>
      </c>
      <c r="B291" s="118" t="s">
        <v>415</v>
      </c>
      <c r="C291" s="103"/>
      <c r="D291" s="103">
        <f t="shared" si="10"/>
        <v>0</v>
      </c>
      <c r="E291" s="103">
        <f t="shared" si="11"/>
        <v>0</v>
      </c>
      <c r="F291" s="103"/>
      <c r="H291" s="134"/>
    </row>
    <row r="292" spans="1:8" x14ac:dyDescent="0.3">
      <c r="A292" s="120">
        <v>285</v>
      </c>
      <c r="B292" s="149" t="s">
        <v>416</v>
      </c>
      <c r="C292" s="103">
        <v>120000</v>
      </c>
      <c r="D292" s="103">
        <f t="shared" si="10"/>
        <v>29092.618363781719</v>
      </c>
      <c r="E292" s="103">
        <f t="shared" si="11"/>
        <v>29000</v>
      </c>
      <c r="F292" s="103">
        <v>1800000</v>
      </c>
      <c r="H292" s="134"/>
    </row>
    <row r="293" spans="1:8" x14ac:dyDescent="0.3">
      <c r="A293" s="120">
        <v>286</v>
      </c>
      <c r="B293" s="149" t="s">
        <v>417</v>
      </c>
      <c r="C293" s="103"/>
      <c r="D293" s="103">
        <f t="shared" si="10"/>
        <v>0</v>
      </c>
      <c r="E293" s="103">
        <f t="shared" si="11"/>
        <v>0</v>
      </c>
      <c r="F293" s="103"/>
      <c r="H293" s="134"/>
    </row>
    <row r="294" spans="1:8" x14ac:dyDescent="0.3">
      <c r="A294" s="120">
        <v>287</v>
      </c>
      <c r="B294" s="149" t="s">
        <v>418</v>
      </c>
      <c r="C294" s="103"/>
      <c r="D294" s="103">
        <f t="shared" si="10"/>
        <v>0</v>
      </c>
      <c r="E294" s="103">
        <f t="shared" si="11"/>
        <v>0</v>
      </c>
      <c r="F294" s="103"/>
      <c r="H294" s="134"/>
    </row>
    <row r="295" spans="1:8" x14ac:dyDescent="0.3">
      <c r="A295" s="120">
        <v>288</v>
      </c>
      <c r="B295" s="149" t="s">
        <v>419</v>
      </c>
      <c r="C295" s="103">
        <v>20000</v>
      </c>
      <c r="D295" s="103">
        <f t="shared" si="10"/>
        <v>4848.7697272969535</v>
      </c>
      <c r="E295" s="103">
        <f t="shared" si="11"/>
        <v>5000</v>
      </c>
      <c r="F295" s="103">
        <v>1800000</v>
      </c>
      <c r="H295" s="134"/>
    </row>
    <row r="296" spans="1:8" x14ac:dyDescent="0.3">
      <c r="A296" s="120">
        <v>289</v>
      </c>
      <c r="B296" s="149" t="s">
        <v>420</v>
      </c>
      <c r="C296" s="103"/>
      <c r="D296" s="103">
        <f t="shared" si="10"/>
        <v>0</v>
      </c>
      <c r="E296" s="103">
        <f t="shared" si="11"/>
        <v>0</v>
      </c>
      <c r="F296" s="103"/>
      <c r="H296" s="134"/>
    </row>
    <row r="297" spans="1:8" x14ac:dyDescent="0.3">
      <c r="A297" s="120">
        <v>290</v>
      </c>
      <c r="B297" s="149" t="s">
        <v>421</v>
      </c>
      <c r="C297" s="103"/>
      <c r="D297" s="103">
        <f t="shared" si="10"/>
        <v>0</v>
      </c>
      <c r="E297" s="103">
        <f t="shared" si="11"/>
        <v>0</v>
      </c>
      <c r="F297" s="103"/>
      <c r="H297" s="134"/>
    </row>
    <row r="298" spans="1:8" x14ac:dyDescent="0.3">
      <c r="A298" s="120"/>
      <c r="B298" s="118"/>
      <c r="C298" s="103"/>
      <c r="D298" s="103"/>
      <c r="E298" s="103"/>
      <c r="F298" s="103"/>
      <c r="H298" s="134"/>
    </row>
    <row r="299" spans="1:8" x14ac:dyDescent="0.3">
      <c r="A299" s="131"/>
      <c r="B299" s="118" t="s">
        <v>399</v>
      </c>
      <c r="C299" s="132">
        <f>SUM(C8:C297)</f>
        <v>67546000</v>
      </c>
      <c r="D299" s="132">
        <f t="shared" ref="D299:F299" si="12">SUM(D8:D297)</f>
        <v>16375750.000000002</v>
      </c>
      <c r="E299" s="132">
        <f t="shared" si="12"/>
        <v>16375500</v>
      </c>
      <c r="F299" s="132">
        <f t="shared" si="12"/>
        <v>432900000</v>
      </c>
      <c r="H299" s="137"/>
    </row>
    <row r="300" spans="1:8" x14ac:dyDescent="0.3">
      <c r="H300" s="134"/>
    </row>
    <row r="301" spans="1:8" x14ac:dyDescent="0.3">
      <c r="H301" s="134"/>
    </row>
    <row r="302" spans="1:8" x14ac:dyDescent="0.3">
      <c r="H302" s="134"/>
    </row>
    <row r="303" spans="1:8" x14ac:dyDescent="0.3">
      <c r="H303" s="134"/>
    </row>
  </sheetData>
  <mergeCells count="6"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6"/>
  <sheetViews>
    <sheetView workbookViewId="0">
      <selection activeCell="B39" sqref="B39"/>
    </sheetView>
  </sheetViews>
  <sheetFormatPr defaultRowHeight="14.4" x14ac:dyDescent="0.3"/>
  <cols>
    <col min="1" max="1" width="38.88671875" bestFit="1" customWidth="1"/>
    <col min="2" max="2" width="23.88671875" customWidth="1"/>
  </cols>
  <sheetData>
    <row r="1" spans="1:2" ht="15.6" x14ac:dyDescent="0.3">
      <c r="A1" s="1" t="s">
        <v>405</v>
      </c>
      <c r="B1" s="3"/>
    </row>
    <row r="2" spans="1:2" ht="15.6" x14ac:dyDescent="0.3">
      <c r="A2" s="1" t="s">
        <v>427</v>
      </c>
      <c r="B2" s="3"/>
    </row>
    <row r="3" spans="1:2" ht="15.6" x14ac:dyDescent="0.3">
      <c r="A3" s="1"/>
      <c r="B3" s="3"/>
    </row>
    <row r="4" spans="1:2" ht="15.6" x14ac:dyDescent="0.3">
      <c r="A4" s="8" t="s">
        <v>1</v>
      </c>
      <c r="B4" s="8" t="s">
        <v>2</v>
      </c>
    </row>
    <row r="5" spans="1:2" ht="15.6" x14ac:dyDescent="0.3">
      <c r="A5" s="11"/>
      <c r="B5" s="13" t="s">
        <v>408</v>
      </c>
    </row>
    <row r="6" spans="1:2" ht="15.6" x14ac:dyDescent="0.3">
      <c r="A6" s="139" t="s">
        <v>6</v>
      </c>
      <c r="B6" s="16"/>
    </row>
    <row r="7" spans="1:2" ht="15.6" x14ac:dyDescent="0.3">
      <c r="A7" s="19" t="s">
        <v>7</v>
      </c>
      <c r="B7" s="20">
        <v>77874821</v>
      </c>
    </row>
    <row r="8" spans="1:2" ht="15.6" x14ac:dyDescent="0.3">
      <c r="A8" s="140" t="s">
        <v>8</v>
      </c>
      <c r="B8" s="20">
        <v>261992439</v>
      </c>
    </row>
    <row r="9" spans="1:2" ht="15.6" x14ac:dyDescent="0.3">
      <c r="A9" s="19" t="s">
        <v>9</v>
      </c>
      <c r="B9" s="20">
        <v>100000000</v>
      </c>
    </row>
    <row r="10" spans="1:2" ht="15.6" x14ac:dyDescent="0.3">
      <c r="A10" s="19" t="s">
        <v>10</v>
      </c>
      <c r="B10" s="20">
        <v>449305000</v>
      </c>
    </row>
    <row r="11" spans="1:2" ht="15.6" x14ac:dyDescent="0.3">
      <c r="A11" s="19" t="s">
        <v>11</v>
      </c>
      <c r="B11" s="24">
        <v>-334000</v>
      </c>
    </row>
    <row r="12" spans="1:2" ht="15.6" x14ac:dyDescent="0.3">
      <c r="A12" s="19" t="s">
        <v>12</v>
      </c>
      <c r="B12" s="25">
        <v>3139475</v>
      </c>
    </row>
    <row r="13" spans="1:2" ht="15.6" x14ac:dyDescent="0.3">
      <c r="A13" s="19" t="s">
        <v>13</v>
      </c>
      <c r="B13" s="25">
        <v>3005823</v>
      </c>
    </row>
    <row r="14" spans="1:2" ht="15.6" x14ac:dyDescent="0.3">
      <c r="A14" s="19" t="s">
        <v>14</v>
      </c>
      <c r="B14" s="20">
        <v>28388200</v>
      </c>
    </row>
    <row r="15" spans="1:2" ht="15.6" x14ac:dyDescent="0.3">
      <c r="A15" s="19" t="s">
        <v>15</v>
      </c>
      <c r="B15" s="24">
        <v>-22607803</v>
      </c>
    </row>
    <row r="16" spans="1:2" ht="15.6" x14ac:dyDescent="0.3">
      <c r="A16" s="141" t="s">
        <v>16</v>
      </c>
      <c r="B16" s="28">
        <f>SUM(B7:B15)</f>
        <v>900763955</v>
      </c>
    </row>
    <row r="17" spans="1:2" ht="15.6" x14ac:dyDescent="0.3">
      <c r="A17" s="17"/>
      <c r="B17" s="17"/>
    </row>
    <row r="18" spans="1:2" ht="15.6" x14ac:dyDescent="0.3">
      <c r="A18" s="141" t="s">
        <v>17</v>
      </c>
      <c r="B18" s="20"/>
    </row>
    <row r="19" spans="1:2" ht="15.6" x14ac:dyDescent="0.3">
      <c r="A19" s="141" t="s">
        <v>18</v>
      </c>
      <c r="B19" s="20"/>
    </row>
    <row r="20" spans="1:2" ht="15.6" x14ac:dyDescent="0.3">
      <c r="A20" s="19" t="s">
        <v>19</v>
      </c>
      <c r="B20" s="20">
        <v>0</v>
      </c>
    </row>
    <row r="21" spans="1:2" ht="15.6" x14ac:dyDescent="0.3">
      <c r="A21" s="19" t="s">
        <v>20</v>
      </c>
      <c r="B21" s="20">
        <v>356832697</v>
      </c>
    </row>
    <row r="22" spans="1:2" ht="15.6" x14ac:dyDescent="0.3">
      <c r="A22" s="19" t="s">
        <v>21</v>
      </c>
      <c r="B22" s="20">
        <f>67835000+350000</f>
        <v>68185000</v>
      </c>
    </row>
    <row r="23" spans="1:2" ht="15.6" x14ac:dyDescent="0.3">
      <c r="A23" s="17" t="s">
        <v>22</v>
      </c>
      <c r="B23" s="25">
        <v>0</v>
      </c>
    </row>
    <row r="24" spans="1:2" ht="15.6" x14ac:dyDescent="0.3">
      <c r="A24" s="19" t="s">
        <v>23</v>
      </c>
      <c r="B24" s="20">
        <v>0</v>
      </c>
    </row>
    <row r="25" spans="1:2" ht="15.6" x14ac:dyDescent="0.3">
      <c r="A25" s="19" t="s">
        <v>24</v>
      </c>
      <c r="B25" s="20">
        <v>20562160</v>
      </c>
    </row>
    <row r="26" spans="1:2" ht="15.6" x14ac:dyDescent="0.3">
      <c r="A26" s="19" t="s">
        <v>25</v>
      </c>
      <c r="B26" s="20">
        <v>20562160</v>
      </c>
    </row>
    <row r="27" spans="1:2" ht="15.6" x14ac:dyDescent="0.3">
      <c r="A27" s="142" t="s">
        <v>26</v>
      </c>
      <c r="B27" s="28">
        <f>SUM(B20:B26)</f>
        <v>466142017</v>
      </c>
    </row>
    <row r="28" spans="1:2" ht="15.6" x14ac:dyDescent="0.3">
      <c r="A28" s="17"/>
      <c r="B28" s="17"/>
    </row>
    <row r="29" spans="1:2" ht="15.6" x14ac:dyDescent="0.3">
      <c r="A29" s="142" t="s">
        <v>27</v>
      </c>
      <c r="B29" s="20"/>
    </row>
    <row r="30" spans="1:2" ht="15.6" x14ac:dyDescent="0.3">
      <c r="A30" s="19" t="s">
        <v>28</v>
      </c>
      <c r="B30" s="20">
        <v>24495000</v>
      </c>
    </row>
    <row r="31" spans="1:2" ht="15.6" x14ac:dyDescent="0.3">
      <c r="A31" s="19" t="s">
        <v>29</v>
      </c>
      <c r="B31" s="20">
        <v>104189000</v>
      </c>
    </row>
    <row r="32" spans="1:2" ht="15.6" x14ac:dyDescent="0.3">
      <c r="A32" s="19" t="s">
        <v>30</v>
      </c>
      <c r="B32" s="20">
        <v>132057500</v>
      </c>
    </row>
    <row r="33" spans="1:2" ht="15.6" x14ac:dyDescent="0.3">
      <c r="A33" s="19" t="s">
        <v>31</v>
      </c>
      <c r="B33" s="20">
        <v>102811000</v>
      </c>
    </row>
    <row r="34" spans="1:2" ht="15.6" x14ac:dyDescent="0.3">
      <c r="A34" s="19" t="s">
        <v>32</v>
      </c>
      <c r="B34" s="25">
        <v>18906175</v>
      </c>
    </row>
    <row r="35" spans="1:2" ht="15.6" x14ac:dyDescent="0.3">
      <c r="A35" s="19" t="s">
        <v>33</v>
      </c>
      <c r="B35" s="20">
        <v>0</v>
      </c>
    </row>
    <row r="36" spans="1:2" ht="15.6" x14ac:dyDescent="0.3">
      <c r="A36" s="19" t="s">
        <v>34</v>
      </c>
      <c r="B36" s="20">
        <v>52163263</v>
      </c>
    </row>
    <row r="37" spans="1:2" ht="15.6" x14ac:dyDescent="0.3">
      <c r="A37" s="142" t="s">
        <v>35</v>
      </c>
      <c r="B37" s="28">
        <f>SUM(B30:B36)</f>
        <v>434621938</v>
      </c>
    </row>
    <row r="38" spans="1:2" ht="15.6" x14ac:dyDescent="0.3">
      <c r="A38" s="17"/>
      <c r="B38" s="17"/>
    </row>
    <row r="39" spans="1:2" ht="15.6" x14ac:dyDescent="0.3">
      <c r="A39" s="143" t="s">
        <v>36</v>
      </c>
      <c r="B39" s="34">
        <f>B27+B37</f>
        <v>900763955</v>
      </c>
    </row>
    <row r="40" spans="1:2" ht="15.6" x14ac:dyDescent="0.3">
      <c r="A40" s="27"/>
      <c r="B40" s="145"/>
    </row>
    <row r="41" spans="1:2" x14ac:dyDescent="0.3">
      <c r="A41" s="4"/>
      <c r="B41" s="4"/>
    </row>
    <row r="42" spans="1:2" x14ac:dyDescent="0.3">
      <c r="A42" s="138" t="s">
        <v>403</v>
      </c>
    </row>
    <row r="43" spans="1:2" x14ac:dyDescent="0.3">
      <c r="A43" s="138"/>
    </row>
    <row r="44" spans="1:2" x14ac:dyDescent="0.3">
      <c r="A44" s="138"/>
    </row>
    <row r="45" spans="1:2" x14ac:dyDescent="0.3">
      <c r="A45" s="138"/>
    </row>
    <row r="46" spans="1:2" x14ac:dyDescent="0.3">
      <c r="A46" s="138" t="s">
        <v>404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3"/>
  <sheetViews>
    <sheetView workbookViewId="0">
      <selection activeCell="C7" sqref="C7"/>
    </sheetView>
  </sheetViews>
  <sheetFormatPr defaultRowHeight="14.4" x14ac:dyDescent="0.3"/>
  <cols>
    <col min="1" max="1" width="6.44140625" customWidth="1"/>
    <col min="2" max="2" width="34.5546875" bestFit="1" customWidth="1"/>
    <col min="3" max="3" width="26.6640625" customWidth="1"/>
  </cols>
  <sheetData>
    <row r="1" spans="1:3" ht="15.6" x14ac:dyDescent="0.3">
      <c r="A1" s="40" t="s">
        <v>406</v>
      </c>
      <c r="B1" s="40"/>
      <c r="C1" s="37"/>
    </row>
    <row r="2" spans="1:3" ht="15.6" x14ac:dyDescent="0.3">
      <c r="A2" s="40" t="s">
        <v>428</v>
      </c>
      <c r="B2" s="37"/>
      <c r="C2" s="37"/>
    </row>
    <row r="3" spans="1:3" ht="18" x14ac:dyDescent="0.35">
      <c r="A3" s="45"/>
      <c r="B3" s="37"/>
      <c r="C3" s="37"/>
    </row>
    <row r="4" spans="1:3" ht="15.6" x14ac:dyDescent="0.3">
      <c r="A4" s="47" t="s">
        <v>50</v>
      </c>
      <c r="B4" s="47" t="s">
        <v>1</v>
      </c>
      <c r="C4" s="47" t="s">
        <v>51</v>
      </c>
    </row>
    <row r="5" spans="1:3" ht="15.6" x14ac:dyDescent="0.3">
      <c r="A5" s="51"/>
      <c r="B5" s="51"/>
      <c r="C5" s="144" t="s">
        <v>409</v>
      </c>
    </row>
    <row r="6" spans="1:3" ht="18" x14ac:dyDescent="0.35">
      <c r="A6" s="54">
        <v>1</v>
      </c>
      <c r="B6" s="55" t="s">
        <v>55</v>
      </c>
      <c r="C6" s="56"/>
    </row>
    <row r="7" spans="1:3" ht="18" x14ac:dyDescent="0.35">
      <c r="A7" s="59"/>
      <c r="B7" s="60" t="s">
        <v>56</v>
      </c>
      <c r="C7" s="61">
        <v>63863000</v>
      </c>
    </row>
    <row r="8" spans="1:3" ht="18" x14ac:dyDescent="0.35">
      <c r="A8" s="64"/>
      <c r="B8" s="60" t="s">
        <v>57</v>
      </c>
      <c r="C8" s="61">
        <v>850000</v>
      </c>
    </row>
    <row r="9" spans="1:3" ht="18" x14ac:dyDescent="0.35">
      <c r="A9" s="59"/>
      <c r="B9" s="60" t="s">
        <v>58</v>
      </c>
      <c r="C9" s="61">
        <v>7841000</v>
      </c>
    </row>
    <row r="10" spans="1:3" ht="18" x14ac:dyDescent="0.35">
      <c r="A10" s="59"/>
      <c r="B10" s="60" t="s">
        <v>59</v>
      </c>
      <c r="C10" s="61">
        <v>1443700</v>
      </c>
    </row>
    <row r="11" spans="1:3" ht="18" x14ac:dyDescent="0.35">
      <c r="A11" s="59"/>
      <c r="B11" s="60" t="s">
        <v>60</v>
      </c>
      <c r="C11" s="61">
        <v>58776725</v>
      </c>
    </row>
    <row r="12" spans="1:3" ht="15.6" x14ac:dyDescent="0.3">
      <c r="A12" s="66"/>
      <c r="B12" s="60" t="s">
        <v>61</v>
      </c>
      <c r="C12" s="61">
        <v>1457984</v>
      </c>
    </row>
    <row r="13" spans="1:3" ht="15.6" x14ac:dyDescent="0.3">
      <c r="A13" s="66"/>
      <c r="B13" s="67" t="s">
        <v>62</v>
      </c>
      <c r="C13" s="61">
        <v>4437500</v>
      </c>
    </row>
    <row r="14" spans="1:3" ht="15.6" x14ac:dyDescent="0.3">
      <c r="A14" s="66"/>
      <c r="B14" s="67"/>
      <c r="C14" s="63"/>
    </row>
    <row r="15" spans="1:3" ht="18" x14ac:dyDescent="0.35">
      <c r="A15" s="59"/>
      <c r="B15" s="68" t="s">
        <v>63</v>
      </c>
      <c r="C15" s="69">
        <f>SUM(C7:C14)</f>
        <v>138669909</v>
      </c>
    </row>
    <row r="16" spans="1:3" ht="18" x14ac:dyDescent="0.35">
      <c r="A16" s="59"/>
      <c r="B16" s="67"/>
      <c r="C16" s="67"/>
    </row>
    <row r="17" spans="1:3" ht="18" x14ac:dyDescent="0.35">
      <c r="A17" s="72">
        <v>2</v>
      </c>
      <c r="B17" s="73" t="s">
        <v>64</v>
      </c>
      <c r="C17" s="74"/>
    </row>
    <row r="18" spans="1:3" ht="18" x14ac:dyDescent="0.35">
      <c r="A18" s="59"/>
      <c r="B18" s="60" t="s">
        <v>66</v>
      </c>
      <c r="C18" s="61">
        <v>2221600</v>
      </c>
    </row>
    <row r="19" spans="1:3" ht="18" x14ac:dyDescent="0.35">
      <c r="A19" s="59"/>
      <c r="B19" s="60" t="s">
        <v>67</v>
      </c>
      <c r="C19" s="61">
        <v>799050</v>
      </c>
    </row>
    <row r="20" spans="1:3" ht="18" x14ac:dyDescent="0.35">
      <c r="A20" s="59"/>
      <c r="B20" s="60" t="s">
        <v>68</v>
      </c>
      <c r="C20" s="61">
        <v>6616300</v>
      </c>
    </row>
    <row r="21" spans="1:3" ht="18" x14ac:dyDescent="0.35">
      <c r="A21" s="59"/>
      <c r="B21" s="60" t="s">
        <v>69</v>
      </c>
      <c r="C21" s="61">
        <v>78000</v>
      </c>
    </row>
    <row r="22" spans="1:3" ht="18" x14ac:dyDescent="0.35">
      <c r="A22" s="59"/>
      <c r="B22" s="60" t="s">
        <v>70</v>
      </c>
      <c r="C22" s="61">
        <v>1179095</v>
      </c>
    </row>
    <row r="23" spans="1:3" ht="18" x14ac:dyDescent="0.35">
      <c r="A23" s="59"/>
      <c r="B23" s="60" t="s">
        <v>71</v>
      </c>
      <c r="C23" s="61">
        <v>1450000</v>
      </c>
    </row>
    <row r="24" spans="1:3" ht="18" x14ac:dyDescent="0.35">
      <c r="A24" s="59"/>
      <c r="B24" s="60" t="s">
        <v>72</v>
      </c>
      <c r="C24" s="61">
        <v>2093427</v>
      </c>
    </row>
    <row r="25" spans="1:3" ht="18" x14ac:dyDescent="0.35">
      <c r="A25" s="59"/>
      <c r="B25" s="60" t="s">
        <v>73</v>
      </c>
      <c r="C25" s="61">
        <v>3905000</v>
      </c>
    </row>
    <row r="26" spans="1:3" ht="18" x14ac:dyDescent="0.35">
      <c r="A26" s="59"/>
      <c r="B26" s="60" t="s">
        <v>74</v>
      </c>
      <c r="C26" s="61">
        <v>444500</v>
      </c>
    </row>
    <row r="27" spans="1:3" ht="18" x14ac:dyDescent="0.35">
      <c r="A27" s="59"/>
      <c r="B27" s="60" t="s">
        <v>75</v>
      </c>
      <c r="C27" s="61">
        <v>3499240</v>
      </c>
    </row>
    <row r="28" spans="1:3" ht="18" x14ac:dyDescent="0.35">
      <c r="A28" s="59"/>
      <c r="B28" s="60" t="s">
        <v>76</v>
      </c>
      <c r="C28" s="61">
        <v>50480204</v>
      </c>
    </row>
    <row r="29" spans="1:3" ht="18" x14ac:dyDescent="0.35">
      <c r="A29" s="59"/>
      <c r="B29" s="60" t="s">
        <v>77</v>
      </c>
      <c r="C29" s="61">
        <v>6134000</v>
      </c>
    </row>
    <row r="30" spans="1:3" ht="18" x14ac:dyDescent="0.35">
      <c r="A30" s="64"/>
      <c r="B30" s="60" t="s">
        <v>78</v>
      </c>
      <c r="C30" s="61">
        <v>1150000</v>
      </c>
    </row>
    <row r="31" spans="1:3" ht="15.6" x14ac:dyDescent="0.3">
      <c r="A31" s="66"/>
      <c r="B31" s="60" t="s">
        <v>79</v>
      </c>
      <c r="C31" s="61">
        <v>6456230</v>
      </c>
    </row>
    <row r="32" spans="1:3" ht="15.6" x14ac:dyDescent="0.3">
      <c r="A32" s="66"/>
      <c r="B32" s="67"/>
      <c r="C32" s="61"/>
    </row>
    <row r="33" spans="1:3" ht="15.6" x14ac:dyDescent="0.3">
      <c r="A33" s="66"/>
      <c r="B33" s="67"/>
      <c r="C33" s="67"/>
    </row>
    <row r="34" spans="1:3" ht="18" x14ac:dyDescent="0.35">
      <c r="A34" s="59">
        <v>3</v>
      </c>
      <c r="B34" s="68" t="s">
        <v>80</v>
      </c>
      <c r="C34" s="69">
        <f>SUM(C18:C33)</f>
        <v>86506646</v>
      </c>
    </row>
    <row r="35" spans="1:3" ht="18" x14ac:dyDescent="0.35">
      <c r="A35" s="64"/>
      <c r="B35" s="67"/>
      <c r="C35" s="67"/>
    </row>
    <row r="36" spans="1:3" ht="18" x14ac:dyDescent="0.35">
      <c r="A36" s="76"/>
      <c r="B36" s="77" t="s">
        <v>81</v>
      </c>
      <c r="C36" s="78">
        <f>C15-C34</f>
        <v>52163263</v>
      </c>
    </row>
    <row r="39" spans="1:3" x14ac:dyDescent="0.3">
      <c r="A39" s="138" t="s">
        <v>403</v>
      </c>
    </row>
    <row r="40" spans="1:3" x14ac:dyDescent="0.3">
      <c r="A40" s="138"/>
    </row>
    <row r="41" spans="1:3" x14ac:dyDescent="0.3">
      <c r="A41" s="138"/>
    </row>
    <row r="42" spans="1:3" x14ac:dyDescent="0.3">
      <c r="A42" s="138"/>
    </row>
    <row r="43" spans="1:3" x14ac:dyDescent="0.3">
      <c r="A43" s="138" t="s">
        <v>404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Neraca</vt:lpstr>
      <vt:lpstr>Rugi Laba</vt:lpstr>
      <vt:lpstr>SHU</vt:lpstr>
      <vt:lpstr>SHU Simpanan</vt:lpstr>
      <vt:lpstr>SHU Pinjaman</vt:lpstr>
      <vt:lpstr>NERACA PAJAK</vt:lpstr>
      <vt:lpstr>RUGI LABA PAJAK</vt:lpstr>
      <vt:lpstr>Neraca!Print_Area</vt:lpstr>
      <vt:lpstr>'Rugi Laba'!Print_Area</vt:lpstr>
      <vt:lpstr>'SHU Simpanan'!Print_Area</vt:lpstr>
      <vt:lpstr>'SHU Simpanan'!Print_Titles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oktarina.suryohadi@gmail.com</dc:creator>
  <cp:lastModifiedBy>soeratno soeratno</cp:lastModifiedBy>
  <cp:lastPrinted>2026-02-21T03:02:29Z</cp:lastPrinted>
  <dcterms:created xsi:type="dcterms:W3CDTF">2025-03-06T13:52:22Z</dcterms:created>
  <dcterms:modified xsi:type="dcterms:W3CDTF">2026-05-17T07:40:23Z</dcterms:modified>
</cp:coreProperties>
</file>